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D:\Users\Ndthinhpt98\Downloads\"/>
    </mc:Choice>
  </mc:AlternateContent>
  <bookViews>
    <workbookView xWindow="28425" yWindow="0" windowWidth="28800" windowHeight="31950" tabRatio="913" firstSheet="4" activeTab="4"/>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8"/>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<sst xmlns="http://schemas.openxmlformats.org/spreadsheetml/2006/main" count="756" uniqueCount="321">
  <si>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</si>
  <si>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</si>
  <si>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</si>
  <si>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</si>
  <si>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</si>
  <si>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</si>
  <si>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</si>
  <si>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</si>
  <si>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</si>
  <si>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</si>
  <si>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</si>
  <si>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</si>
  <si>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</si>
  <si>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</si>
  <si>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</si>
  <si>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</si>
  <si>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</si>
  <si>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</si>
  <si>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</si>
  <si>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</si>
  <si>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</si>
  <si>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</si>
  <si>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</si>
  <si>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</si>
  <si>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</si>
  <si>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</si>
  <si>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</si>
  <si>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</si>
  <si>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</si>
  <si>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</si>
  <si>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</si>
  <si>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</si>
  <si>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</si>
  <si>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</si>
  <si>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</si>
  <si>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</si>
  <si>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</si>
  <si>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</si>
  <si>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</si>
  <si>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</si>
  <si>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</si>
  <si>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</si>
  <si>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</si>
  <si>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</si>
  <si>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</si>
  <si>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</si>
  <si>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</si>
  <si>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</si>
  <si>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</si>
  <si>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</si>
  <si>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</si>
  <si>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</si>
  <si>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</si>
  <si>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</si>
  <si>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</si>
  <si>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</si>
  <si>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</si>
  <si>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</si>
  <si>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</si>
  <si>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</si>
  <si>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</si>
  <si>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</si>
  <si>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</si>
  <si>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</si>
  <si>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</si>
  <si>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</si>
  <si>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</si>
  <si>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</si>
  <si>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</si>
  <si>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</si>
  <si>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</si>
  <si>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</si>
  <si>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</si>
  <si>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</si>
  <si>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</si>
  <si>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</si>
  <si>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</si>
  <si>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</si>
  <si>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</si>
  <si>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</si>
  <si>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</si>
  <si>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</si>
  <si>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</si>
  <si>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</si>
  <si>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</si>
  <si>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</si>
  <si>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</si>
  <si>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</si>
  <si>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</si>
  <si>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</si>
  <si>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</si>
  <si>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</si>
  <si>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</si>
  <si>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</si>
  <si>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</si>
  <si>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</si>
  <si>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</si>
  <si>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</si>
  <si>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</si>
  <si>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</si>
  <si>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</si>
  <si>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</si>
  <si>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</si>
  <si>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</si>
  <si>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</si>
  <si>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</si>
  <si>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</si>
  <si>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</si>
  <si>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</si>
  <si>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</si>
  <si>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</si>
  <si>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</si>
  <si>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</si>
  <si>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</si>
  <si>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</si>
  <si>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</si>
  <si>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</si>
  <si>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</si>
  <si>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</si>
  <si>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</si>
  <si>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</si>
  <si>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</si>
  <si>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</si>
  <si>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</si>
  <si>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</si>
  <si>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</si>
  <si>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</si>
  <si>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</si>
  <si>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</si>
  <si>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</si>
  <si>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</si>
  <si>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</si>
  <si>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</si>
  <si>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</si>
  <si>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</si>
  <si>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</si>
  <si>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</si>
  <si>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</si>
  <si>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</si>
  <si>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</si>
  <si>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</si>
  <si>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</si>
  <si>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</si>
  <si>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</si>
  <si>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</si>
  <si>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</si>
  <si>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</si>
  <si>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</si>
  <si>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</si>
  <si>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</si>
  <si>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</si>
  <si>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</si>
  <si>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</si>
  <si>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</si>
  <si>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</si>
  <si>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</si>
  <si>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</si>
  <si>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</si>
  <si>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</si>
  <si>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</si>
  <si>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</si>
  <si>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</si>
  <si>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</si>
  <si>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</si>
  <si>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</si>
  <si>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</si>
  <si>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</si>
  <si>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</si>
  <si>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</si>
  <si>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</si>
  <si>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</si>
  <si>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</si>
  <si>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</si>
  <si>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</si>
  <si>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</si>
  <si>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</si>
  <si>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</si>
  <si>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</si>
  <si>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</si>
  <si>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</si>
  <si>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</si>
  <si>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</si>
  <si>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</si>
  <si>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</si>
  <si>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</si>
  <si>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</si>
  <si>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</si>
  <si>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</si>
  <si>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</si>
  <si>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</si>
  <si>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</si>
  <si>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</si>
  <si>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</si>
  <si>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</si>
  <si>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</si>
  <si>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</si>
  <si>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</si>
  <si>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</si>
  <si>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</si>
  <si>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</si>
  <si>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</si>
  <si>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</si>
  <si>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</si>
  <si>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</si>
  <si>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</si>
  <si>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</si>
  <si>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</si>
  <si>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</si>
  <si>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</si>
  <si>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</si>
  <si>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</si>
  <si>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</si>
  <si>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</si>
  <si>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</si>
  <si>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</si>
  <si>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</si>
  <si>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</si>
  <si>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</si>
  <si>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</si>
  <si>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</si>
  <si>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</si>
  <si>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</si>
  <si>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</si>
  <si>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</si>
  <si>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</si>
  <si>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</si>
  <si>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</si>
  <si>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</si>
  <si>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</si>
  <si>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</si>
  <si>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</si>
  <si>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</si>
  <si>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</si>
  <si>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</si>
  <si>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</si>
  <si>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</si>
  <si>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</si>
  <si>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</si>
  <si>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</si>
  <si>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</si>
  <si>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</si>
  <si>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</si>
  <si>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</si>
  <si>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</si>
  <si>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</si>
  <si>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</si>
  <si>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</si>
  <si>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</si>
  <si>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</si>
  <si>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</si>
  <si>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</si>
  <si>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</si>
  <si>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</si>
  <si>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</si>
  <si>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</si>
  <si>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</si>
  <si>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</si>
  <si>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</si>
  <si>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</si>
  <si>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</si>
  <si>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</si>
  <si>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</si>
  <si>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</si>
  <si>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</si>
  <si>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</si>
  <si>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</si>
  <si>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</si>
  <si>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</si>
  <si>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</si>
  <si>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</si>
  <si>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</si>
  <si>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</si>
  <si>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</si>
  <si>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</si>
  <si>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</si>
  <si>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</si>
  <si>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</si>
  <si>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</si>
  <si>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</si>
  <si>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</si>
  <si>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</si>
  <si>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</si>
  <si>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M</t>
  </si>
  <si>
    <t>W</t>
  </si>
  <si>
    <t>F</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</si>
  <si>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</si>
  <si>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sa</t>
  </si>
  <si>
    <t>102397865792139765133946693994864013771059744140</t>
  </si>
  <si>
    <t>Quick Start Guide</t>
  </si>
  <si>
    <t>W17</t>
  </si>
  <si>
    <t>W18</t>
  </si>
  <si>
    <t>W19</t>
  </si>
  <si>
    <t>W20</t>
  </si>
  <si>
    <t>W21</t>
  </si>
  <si>
    <t>Công việc 1</t>
  </si>
  <si>
    <t>Công việc 2</t>
  </si>
  <si>
    <t>Công việc 3</t>
  </si>
  <si>
    <t>Công việc 4</t>
  </si>
  <si>
    <t>Công việc 5</t>
  </si>
  <si>
    <t>Công việc 6</t>
  </si>
  <si>
    <t>1</t>
  </si>
  <si>
    <t>2</t>
  </si>
  <si>
    <t>3</t>
  </si>
  <si>
    <t>4</t>
  </si>
  <si>
    <t>5</t>
  </si>
  <si>
    <t>6</t>
  </si>
  <si>
    <t>BTL</t>
  </si>
  <si>
    <t>Project Lead: Sa</t>
  </si>
  <si>
    <t>Công việc 7</t>
  </si>
  <si>
    <t>Type here to add a new task</t>
  </si>
  <si>
    <t>7</t>
  </si>
  <si>
    <t>8</t>
  </si>
  <si>
    <t>Công việc 8</t>
  </si>
  <si>
    <t>Công việc 9</t>
  </si>
  <si>
    <t>10</t>
  </si>
  <si>
    <t>11</t>
  </si>
  <si>
    <t>12</t>
  </si>
  <si>
    <t>M2cv1&amp;cv2)</t>
  </si>
  <si>
    <t>M1(cv4)</t>
  </si>
  <si>
    <t>13</t>
  </si>
  <si>
    <t>M3(cv7&amp;cv8)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</si>
</sst>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 #,##0"/>
    <numFmt numFmtId="165" formatCode="ddd\ dd\-mmm\-yy"/>
    <numFmt numFmtId="166" formatCode="[$$-409]#,##0.00"/>
  </numFmts>
  <fonts count="44"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i/>
      <sz val="10"/>
      <color rgb="FF000000"/>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
      <sz val="11"/>
      <color rgb="FFFFC000"/>
      <name val="Wingdings"/>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20">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style="thin">
        <color rgb="FFCCFFFF"/>
      </right>
      <top/>
      <bottom/>
      <diagonal/>
    </border>
    <border>
      <left style="thin">
        <color rgb="FFCCFFFF"/>
      </left>
      <right style="thin">
        <color rgb="FFCCFFFF"/>
      </right>
      <top/>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style="thin">
        <color rgb="FFFF0000"/>
      </top>
      <bottom style="thin">
        <color rgb="FFFF0000"/>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79">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6" borderId="0" xfId="0" applyFont="1" applyFill="1" applyAlignment="1">
      <alignment horizontal="left" vertical="center"/>
    </xf>
    <xf numFmtId="0" fontId="37" fillId="28" borderId="0" xfId="0" applyFont="1" applyFill="1" applyAlignment="1">
      <alignment horizontal="left" vertical="center"/>
    </xf>
    <xf numFmtId="0" fontId="32" fillId="0" borderId="5" xfId="0" applyFont="1" applyBorder="1" applyAlignment="1">
      <alignment horizontal="center" vertical="center"/>
    </xf>
    <xf numFmtId="0" fontId="37" fillId="31" borderId="6" xfId="0" applyFont="1" applyFill="1" applyBorder="1" applyAlignment="1">
      <alignment horizontal="center" vertical="center"/>
    </xf>
    <xf numFmtId="0" fontId="0" fillId="0" borderId="7" xfId="0" applyBorder="1"/>
    <xf numFmtId="0" fontId="32" fillId="0" borderId="11" xfId="0" applyFont="1" applyBorder="1" applyAlignment="1">
      <alignment horizontal="center" vertical="center"/>
    </xf>
    <xf numFmtId="0" fontId="32" fillId="0" borderId="11" xfId="0" applyFont="1" applyBorder="1" applyAlignment="1">
      <alignment horizontal="left" vertical="center"/>
    </xf>
    <xf numFmtId="0" fontId="32" fillId="0" borderId="11" xfId="0" applyFont="1" applyBorder="1" applyAlignment="1">
      <alignment horizontal="right" vertical="center"/>
    </xf>
    <xf numFmtId="9" fontId="32" fillId="0" borderId="11" xfId="0" applyNumberFormat="1" applyFont="1" applyBorder="1" applyAlignment="1">
      <alignment horizontal="center" vertical="center"/>
    </xf>
    <xf numFmtId="165" fontId="32" fillId="0" borderId="11" xfId="0" applyNumberFormat="1" applyFont="1" applyBorder="1" applyAlignment="1">
      <alignment horizontal="right" vertical="center"/>
    </xf>
    <xf numFmtId="0" fontId="31" fillId="0" borderId="0" xfId="0" applyFont="1"/>
    <xf numFmtId="0" fontId="32" fillId="0" borderId="0" xfId="0" applyFont="1" applyBorder="1" applyAlignment="1">
      <alignment horizontal="center"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1" fillId="0" borderId="0" xfId="0" applyFont="1" applyBorder="1"/>
    <xf numFmtId="0" fontId="32" fillId="35" borderId="11" xfId="0" applyFont="1" applyFill="1" applyBorder="1" applyAlignment="1">
      <alignment horizontal="left" vertical="center"/>
    </xf>
    <xf numFmtId="0" fontId="41" fillId="0" borderId="11" xfId="0" applyFont="1" applyBorder="1" applyAlignment="1">
      <alignment horizontal="center" vertical="center"/>
    </xf>
    <xf numFmtId="0" fontId="38" fillId="45" borderId="11" xfId="0" applyFont="1" applyFill="1" applyBorder="1" applyAlignment="1">
      <alignment horizontal="center" vertical="center"/>
    </xf>
    <xf numFmtId="0" fontId="36" fillId="0" borderId="11" xfId="0" applyFont="1" applyBorder="1" applyAlignment="1">
      <alignment horizontal="center" vertical="center"/>
    </xf>
    <xf numFmtId="166" fontId="32" fillId="0" borderId="11" xfId="0" applyNumberFormat="1" applyFont="1" applyBorder="1" applyAlignment="1">
      <alignment horizontal="right" vertical="center"/>
    </xf>
    <xf numFmtId="0" fontId="32" fillId="0" borderId="11" xfId="0" applyNumberFormat="1" applyFont="1" applyBorder="1" applyAlignment="1">
      <alignment horizontal="left" vertical="center"/>
    </xf>
    <xf numFmtId="0" fontId="32" fillId="0" borderId="12" xfId="0" applyFont="1" applyBorder="1" applyAlignment="1">
      <alignment horizontal="left" vertical="center"/>
    </xf>
    <xf numFmtId="0" fontId="32" fillId="0" borderId="15" xfId="0" applyFont="1" applyBorder="1" applyAlignment="1">
      <alignment horizontal="center" vertical="center"/>
    </xf>
    <xf numFmtId="0" fontId="32" fillId="0" borderId="15" xfId="0" applyFont="1" applyBorder="1" applyAlignment="1">
      <alignment horizontal="left" vertical="center"/>
    </xf>
    <xf numFmtId="0" fontId="32" fillId="0" borderId="15" xfId="0" applyFont="1" applyBorder="1" applyAlignment="1">
      <alignment horizontal="right" vertical="center"/>
    </xf>
    <xf numFmtId="9" fontId="32" fillId="0" borderId="15" xfId="0" applyNumberFormat="1" applyFont="1" applyBorder="1" applyAlignment="1">
      <alignment horizontal="center" vertical="center"/>
    </xf>
    <xf numFmtId="0" fontId="32" fillId="35" borderId="8" xfId="0" applyFont="1" applyFill="1" applyBorder="1" applyAlignment="1">
      <alignment horizontal="left" vertical="center"/>
    </xf>
    <xf numFmtId="0" fontId="41" fillId="0" borderId="8" xfId="0" applyFont="1" applyBorder="1" applyAlignment="1">
      <alignment horizontal="center" vertical="center"/>
    </xf>
    <xf numFmtId="0" fontId="32" fillId="0" borderId="8" xfId="0" applyFont="1" applyBorder="1" applyAlignment="1">
      <alignment horizontal="left" vertical="center"/>
    </xf>
    <xf numFmtId="0" fontId="38" fillId="45" borderId="8" xfId="0" applyFont="1" applyFill="1" applyBorder="1" applyAlignment="1">
      <alignment horizontal="center" vertical="center"/>
    </xf>
    <xf numFmtId="0" fontId="36" fillId="0" borderId="8" xfId="0" applyFont="1" applyBorder="1" applyAlignment="1">
      <alignment horizontal="center" vertical="center"/>
    </xf>
    <xf numFmtId="166" fontId="32" fillId="0" borderId="8" xfId="0" applyNumberFormat="1" applyFont="1" applyBorder="1" applyAlignment="1">
      <alignment horizontal="right" vertical="center"/>
    </xf>
    <xf numFmtId="165" fontId="32" fillId="0" borderId="8" xfId="0" applyNumberFormat="1" applyFont="1" applyBorder="1" applyAlignment="1">
      <alignment horizontal="right" vertical="center"/>
    </xf>
    <xf numFmtId="0" fontId="32" fillId="0" borderId="8" xfId="0" applyFont="1" applyBorder="1" applyAlignment="1">
      <alignment horizontal="right" vertical="center"/>
    </xf>
    <xf numFmtId="0" fontId="32" fillId="0" borderId="8" xfId="0" applyFont="1" applyBorder="1" applyAlignment="1">
      <alignment horizontal="center" vertical="center"/>
    </xf>
    <xf numFmtId="9" fontId="32" fillId="0" borderId="8" xfId="0" applyNumberFormat="1" applyFont="1" applyBorder="1" applyAlignment="1">
      <alignment horizontal="center" vertical="center"/>
    </xf>
    <xf numFmtId="0" fontId="32" fillId="0" borderId="8" xfId="0" applyNumberFormat="1" applyFont="1" applyBorder="1" applyAlignment="1">
      <alignment horizontal="left" vertical="center"/>
    </xf>
    <xf numFmtId="0" fontId="32" fillId="0" borderId="9" xfId="0" applyFont="1" applyBorder="1" applyAlignment="1">
      <alignment horizontal="left" vertical="center"/>
    </xf>
    <xf numFmtId="0" fontId="32" fillId="0" borderId="8" xfId="0" applyNumberFormat="1" applyFont="1" applyBorder="1" applyAlignment="1">
      <alignment horizontal="right" vertical="center"/>
    </xf>
    <xf numFmtId="0" fontId="32" fillId="0" borderId="11" xfId="0" applyNumberFormat="1" applyFont="1" applyBorder="1" applyAlignment="1">
      <alignment horizontal="right" vertical="center"/>
    </xf>
    <xf numFmtId="0" fontId="31" fillId="0" borderId="10" xfId="0" applyFont="1" applyBorder="1"/>
    <xf numFmtId="0" fontId="0" fillId="0" borderId="13" xfId="0" applyFill="1" applyBorder="1"/>
    <xf numFmtId="0" fontId="32" fillId="35" borderId="14" xfId="0" applyFont="1" applyFill="1" applyBorder="1" applyAlignment="1">
      <alignment horizontal="left" vertical="center"/>
    </xf>
    <xf numFmtId="0" fontId="38" fillId="45" borderId="14" xfId="0" applyFont="1" applyFill="1" applyBorder="1" applyAlignment="1">
      <alignment horizontal="center" vertical="center"/>
    </xf>
    <xf numFmtId="0" fontId="31" fillId="0" borderId="19" xfId="0" applyFont="1" applyBorder="1"/>
    <xf numFmtId="0" fontId="32" fillId="35" borderId="15" xfId="0" applyFont="1" applyFill="1" applyBorder="1" applyAlignment="1">
      <alignment horizontal="left" vertical="center"/>
    </xf>
    <xf numFmtId="0" fontId="41" fillId="0" borderId="15" xfId="0" applyFont="1" applyBorder="1" applyAlignment="1">
      <alignment horizontal="center" vertical="center"/>
    </xf>
    <xf numFmtId="0" fontId="32" fillId="0" borderId="15" xfId="0" applyNumberFormat="1" applyFont="1" applyBorder="1" applyAlignment="1">
      <alignment horizontal="left" vertical="center"/>
    </xf>
    <xf numFmtId="0" fontId="38" fillId="45" borderId="15" xfId="0" applyFont="1" applyFill="1" applyBorder="1" applyAlignment="1">
      <alignment horizontal="center" vertical="center"/>
    </xf>
    <xf numFmtId="0" fontId="36" fillId="0" borderId="15" xfId="0" applyFont="1" applyBorder="1" applyAlignment="1">
      <alignment horizontal="center" vertical="center"/>
    </xf>
    <xf numFmtId="166" fontId="32" fillId="0" borderId="15" xfId="0" applyNumberFormat="1" applyFont="1" applyBorder="1" applyAlignment="1">
      <alignment horizontal="right" vertical="center"/>
    </xf>
    <xf numFmtId="165" fontId="32" fillId="0" borderId="15" xfId="0" applyNumberFormat="1" applyFont="1" applyBorder="1" applyAlignment="1">
      <alignment horizontal="right" vertical="center"/>
    </xf>
    <xf numFmtId="0" fontId="32" fillId="0" borderId="15" xfId="0" applyNumberFormat="1" applyFont="1" applyBorder="1" applyAlignment="1">
      <alignment horizontal="right" vertical="center"/>
    </xf>
    <xf numFmtId="0" fontId="32" fillId="0" borderId="16" xfId="0" applyFont="1" applyBorder="1" applyAlignment="1">
      <alignment horizontal="left" vertical="center"/>
    </xf>
    <xf numFmtId="0" fontId="31" fillId="0" borderId="17" xfId="0" applyFont="1" applyBorder="1"/>
    <xf numFmtId="0" fontId="31" fillId="0" borderId="13" xfId="0" applyFont="1" applyBorder="1"/>
    <xf numFmtId="49" fontId="32" fillId="0" borderId="0" xfId="0" applyNumberFormat="1" applyFont="1" applyAlignment="1">
      <alignment horizontal="left" vertical="center"/>
    </xf>
    <xf numFmtId="49" fontId="40" fillId="48" borderId="0" xfId="0" applyNumberFormat="1" applyFont="1" applyFill="1" applyAlignment="1">
      <alignment horizontal="left" vertical="center"/>
    </xf>
    <xf numFmtId="49" fontId="34" fillId="0" borderId="0" xfId="0" applyNumberFormat="1" applyFont="1" applyAlignment="1">
      <alignment horizontal="left" vertical="center"/>
    </xf>
    <xf numFmtId="49" fontId="42" fillId="0" borderId="0" xfId="0" applyNumberFormat="1" applyFont="1" applyBorder="1" applyAlignment="1">
      <alignment horizontal="left" vertical="center"/>
    </xf>
    <xf numFmtId="49" fontId="32" fillId="0" borderId="11" xfId="0" applyNumberFormat="1" applyFont="1" applyBorder="1" applyAlignment="1">
      <alignment horizontal="left" vertical="center"/>
    </xf>
    <xf numFmtId="49" fontId="32" fillId="0" borderId="15" xfId="0" applyNumberFormat="1" applyFont="1" applyBorder="1" applyAlignment="1">
      <alignment horizontal="left" vertical="center"/>
    </xf>
    <xf numFmtId="49" fontId="32" fillId="0" borderId="8" xfId="0" applyNumberFormat="1" applyFont="1" applyBorder="1" applyAlignment="1">
      <alignment horizontal="left" vertical="center"/>
    </xf>
    <xf numFmtId="0" fontId="32" fillId="35" borderId="0" xfId="0" applyFont="1" applyFill="1" applyBorder="1" applyAlignment="1">
      <alignment horizontal="left" vertical="center"/>
    </xf>
    <xf numFmtId="0" fontId="41" fillId="0" borderId="0" xfId="0" applyFont="1" applyBorder="1" applyAlignment="1">
      <alignment horizontal="center" vertical="center"/>
    </xf>
    <xf numFmtId="49" fontId="32" fillId="0" borderId="0" xfId="0" applyNumberFormat="1" applyFont="1" applyBorder="1" applyAlignment="1">
      <alignment horizontal="left" vertical="center"/>
    </xf>
    <xf numFmtId="0" fontId="32" fillId="0" borderId="0" xfId="0" applyNumberFormat="1" applyFont="1" applyBorder="1" applyAlignment="1">
      <alignment horizontal="left" vertical="center"/>
    </xf>
    <xf numFmtId="0" fontId="38" fillId="45" borderId="0" xfId="0" applyFont="1" applyFill="1" applyBorder="1" applyAlignment="1">
      <alignment horizontal="center" vertical="center"/>
    </xf>
    <xf numFmtId="0" fontId="36" fillId="0" borderId="0" xfId="0" applyFont="1" applyBorder="1" applyAlignment="1">
      <alignment horizontal="center" vertical="center"/>
    </xf>
    <xf numFmtId="166" fontId="32" fillId="0" borderId="0" xfId="0" applyNumberFormat="1" applyFont="1" applyBorder="1" applyAlignment="1">
      <alignment horizontal="right" vertical="center"/>
    </xf>
    <xf numFmtId="165" fontId="32" fillId="0" borderId="0" xfId="0" applyNumberFormat="1" applyFont="1" applyBorder="1" applyAlignment="1">
      <alignment horizontal="right" vertical="center"/>
    </xf>
    <xf numFmtId="0" fontId="32" fillId="0" borderId="0" xfId="0" applyNumberFormat="1" applyFont="1" applyBorder="1" applyAlignment="1">
      <alignment horizontal="right" vertical="center"/>
    </xf>
    <xf numFmtId="0" fontId="32" fillId="0" borderId="5" xfId="0" applyFont="1" applyBorder="1" applyAlignment="1">
      <alignment horizontal="left" vertical="center"/>
    </xf>
    <xf numFmtId="0" fontId="31" fillId="0" borderId="6" xfId="0" applyFont="1" applyBorder="1"/>
    <xf numFmtId="0" fontId="39" fillId="0" borderId="0" xfId="0" applyNumberFormat="1" applyFont="1" applyBorder="1" applyAlignment="1">
      <alignment horizontal="left" vertical="center"/>
    </xf>
    <xf numFmtId="0" fontId="32" fillId="28" borderId="8" xfId="0" applyFont="1" applyFill="1" applyBorder="1" applyAlignment="1">
      <alignment horizontal="center" vertical="center"/>
    </xf>
    <xf numFmtId="49" fontId="32" fillId="28" borderId="8" xfId="0" applyNumberFormat="1" applyFont="1" applyFill="1" applyBorder="1" applyAlignment="1">
      <alignment horizontal="center" vertical="center"/>
    </xf>
    <xf numFmtId="9" fontId="32" fillId="28" borderId="8" xfId="0" applyNumberFormat="1" applyFont="1" applyFill="1" applyBorder="1" applyAlignment="1">
      <alignment horizontal="center" vertical="center"/>
    </xf>
    <xf numFmtId="0" fontId="32" fillId="28" borderId="8" xfId="0" applyNumberFormat="1" applyFont="1" applyFill="1" applyBorder="1" applyAlignment="1">
      <alignment horizontal="center" vertical="center"/>
    </xf>
    <xf numFmtId="0" fontId="32" fillId="28" borderId="9" xfId="0" applyFont="1" applyFill="1" applyBorder="1" applyAlignment="1">
      <alignment horizontal="center" vertical="center"/>
    </xf>
    <xf numFmtId="0" fontId="37" fillId="28" borderId="10" xfId="0" applyFont="1" applyFill="1" applyBorder="1" applyAlignment="1">
      <alignment horizontal="center" vertical="center"/>
    </xf>
    <xf numFmtId="0" fontId="37" fillId="43" borderId="10" xfId="0" applyFont="1" applyFill="1" applyBorder="1" applyAlignment="1">
      <alignment horizontal="center" vertical="center"/>
    </xf>
    <xf numFmtId="0" fontId="32" fillId="0" borderId="8" xfId="0" applyFont="1" applyFill="1" applyBorder="1" applyAlignment="1">
      <alignment horizontal="center" vertical="center"/>
    </xf>
    <xf numFmtId="9" fontId="32" fillId="0" borderId="8" xfId="0" applyNumberFormat="1" applyFont="1" applyFill="1" applyBorder="1" applyAlignment="1">
      <alignment horizontal="center" vertical="center"/>
    </xf>
    <xf numFmtId="0" fontId="32" fillId="0" borderId="14" xfId="0" applyFont="1" applyFill="1" applyBorder="1" applyAlignment="1">
      <alignment horizontal="center" vertical="center"/>
    </xf>
    <xf numFmtId="9" fontId="32" fillId="0" borderId="14" xfId="0" applyNumberFormat="1" applyFont="1" applyFill="1" applyBorder="1" applyAlignment="1">
      <alignment horizontal="center" vertical="center"/>
    </xf>
    <xf numFmtId="0" fontId="32" fillId="0" borderId="14" xfId="0" applyFont="1" applyFill="1" applyBorder="1" applyAlignment="1">
      <alignment horizontal="left" vertical="center"/>
    </xf>
    <xf numFmtId="49" fontId="32" fillId="0" borderId="14" xfId="0" applyNumberFormat="1" applyFont="1" applyFill="1" applyBorder="1" applyAlignment="1">
      <alignment horizontal="left" vertical="center"/>
    </xf>
    <xf numFmtId="0" fontId="32" fillId="0" borderId="14" xfId="0" applyNumberFormat="1" applyFont="1" applyFill="1" applyBorder="1" applyAlignment="1">
      <alignment horizontal="left" vertical="center"/>
    </xf>
    <xf numFmtId="0" fontId="32" fillId="0" borderId="18" xfId="0" applyFont="1" applyFill="1" applyBorder="1" applyAlignment="1">
      <alignment horizontal="left" vertical="center"/>
    </xf>
    <xf numFmtId="0" fontId="36" fillId="0" borderId="14" xfId="0" applyFont="1" applyFill="1" applyBorder="1" applyAlignment="1">
      <alignment horizontal="center" vertical="center"/>
    </xf>
    <xf numFmtId="0" fontId="32" fillId="0" borderId="14" xfId="0" applyFont="1" applyFill="1" applyBorder="1" applyAlignment="1">
      <alignment horizontal="right" vertical="center"/>
    </xf>
    <xf numFmtId="0" fontId="32" fillId="0" borderId="8" xfId="0" applyFont="1" applyFill="1" applyBorder="1" applyAlignment="1">
      <alignment horizontal="left" vertical="center"/>
    </xf>
    <xf numFmtId="49" fontId="32" fillId="0" borderId="8" xfId="0" applyNumberFormat="1" applyFont="1" applyFill="1" applyBorder="1" applyAlignment="1">
      <alignment horizontal="left" vertical="center"/>
    </xf>
    <xf numFmtId="0" fontId="36" fillId="0" borderId="8" xfId="0" applyFont="1" applyFill="1" applyBorder="1" applyAlignment="1">
      <alignment horizontal="center" vertical="center"/>
    </xf>
    <xf numFmtId="0" fontId="32" fillId="0" borderId="8" xfId="0" applyFont="1" applyFill="1" applyBorder="1" applyAlignment="1">
      <alignment horizontal="right" vertical="center"/>
    </xf>
    <xf numFmtId="0" fontId="32" fillId="0" borderId="8" xfId="0" applyNumberFormat="1" applyFont="1" applyFill="1" applyBorder="1" applyAlignment="1">
      <alignment horizontal="left" vertical="center"/>
    </xf>
    <xf numFmtId="0" fontId="32" fillId="0" borderId="9" xfId="0" applyFont="1" applyFill="1" applyBorder="1" applyAlignment="1">
      <alignment horizontal="left" vertical="center"/>
    </xf>
    <xf numFmtId="165" fontId="32" fillId="0" borderId="8" xfId="0" applyNumberFormat="1" applyFont="1" applyFill="1" applyBorder="1" applyAlignment="1">
      <alignment horizontal="right" vertical="center"/>
    </xf>
    <xf numFmtId="166" fontId="32" fillId="0" borderId="8" xfId="0" applyNumberFormat="1" applyFont="1" applyFill="1" applyBorder="1" applyAlignment="1">
      <alignment horizontal="right" vertical="center"/>
    </xf>
    <xf numFmtId="0" fontId="43" fillId="0" borderId="11" xfId="0" applyFont="1" applyFill="1" applyBorder="1" applyAlignment="1">
      <alignment horizontal="center" vertical="center"/>
    </xf>
    <xf numFmtId="49" fontId="32" fillId="0" borderId="11" xfId="0" applyNumberFormat="1" applyFont="1" applyFill="1" applyBorder="1" applyAlignment="1">
      <alignment horizontal="left" vertical="center"/>
    </xf>
    <xf numFmtId="0" fontId="32" fillId="0" borderId="11" xfId="0" applyFont="1" applyFill="1" applyBorder="1" applyAlignment="1">
      <alignment horizontal="left" vertical="center"/>
    </xf>
    <xf numFmtId="0" fontId="36" fillId="0" borderId="11" xfId="0" applyFont="1" applyFill="1" applyBorder="1" applyAlignment="1">
      <alignment horizontal="center" vertical="center"/>
    </xf>
    <xf numFmtId="166" fontId="32" fillId="0" borderId="11" xfId="0" applyNumberFormat="1" applyFont="1" applyFill="1" applyBorder="1" applyAlignment="1">
      <alignment horizontal="right" vertical="center"/>
    </xf>
    <xf numFmtId="165" fontId="32" fillId="0" borderId="11" xfId="0" applyNumberFormat="1" applyFont="1" applyFill="1" applyBorder="1" applyAlignment="1">
      <alignment horizontal="right" vertical="center"/>
    </xf>
    <xf numFmtId="0" fontId="32" fillId="0" borderId="11" xfId="0" applyFont="1" applyFill="1" applyBorder="1" applyAlignment="1">
      <alignment horizontal="right" vertical="center"/>
    </xf>
    <xf numFmtId="0" fontId="32" fillId="0" borderId="11" xfId="0" applyFont="1" applyFill="1" applyBorder="1" applyAlignment="1">
      <alignment horizontal="center" vertical="center"/>
    </xf>
    <xf numFmtId="9" fontId="32" fillId="0" borderId="11" xfId="0" applyNumberFormat="1" applyFont="1" applyFill="1" applyBorder="1" applyAlignment="1">
      <alignment horizontal="center" vertical="center"/>
    </xf>
    <xf numFmtId="0" fontId="32" fillId="0" borderId="11"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7" fillId="0" borderId="13" xfId="0" applyFont="1" applyFill="1" applyBorder="1" applyAlignment="1">
      <alignment horizontal="center" vertical="center"/>
    </xf>
    <xf numFmtId="0" fontId="32" fillId="0" borderId="8" xfId="0" applyNumberFormat="1" applyFont="1" applyFill="1" applyBorder="1" applyAlignment="1">
      <alignment horizontal="right" vertical="center"/>
    </xf>
    <xf numFmtId="166" fontId="32" fillId="0" borderId="14" xfId="0" applyNumberFormat="1" applyFont="1" applyFill="1" applyBorder="1" applyAlignment="1">
      <alignment horizontal="right" vertical="center"/>
    </xf>
    <xf numFmtId="165" fontId="32" fillId="0" borderId="14" xfId="0" applyNumberFormat="1" applyFont="1" applyFill="1" applyBorder="1" applyAlignment="1">
      <alignment horizontal="right" vertical="center"/>
    </xf>
    <xf numFmtId="0" fontId="32" fillId="0" borderId="14" xfId="0" applyNumberFormat="1" applyFont="1" applyFill="1" applyBorder="1" applyAlignment="1">
      <alignment horizontal="right" vertical="center"/>
    </xf>
    <xf numFmtId="0" fontId="43" fillId="0" borderId="8" xfId="0" applyFont="1" applyBorder="1" applyAlignment="1">
      <alignment horizontal="center" vertical="center"/>
    </xf>
    <xf numFmtId="0" fontId="43" fillId="0" borderId="14" xfId="0" applyFont="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cellStyle name="Percent" xfId="200" builtinId="5"/>
  </cellStyles>
  <dxfs count="5">
    <dxf>
      <font>
        <color rgb="FF9C0006"/>
      </font>
    </dxf>
    <dxf>
      <numFmt numFmtId="167" formatCode="m/d/yyyy"/>
    </dxf>
    <dxf>
      <numFmt numFmtId="167"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tableStyleElement type="wholeTable" dxfId="4"/>
      <tableStyleElement type="headerRow" dxfId="3"/>
    </tableStyle>
  </tableStyles>
  <colors>
    <mruColors>
      <color rgb="FFA7E8FF"/>
      <color rgb="FF4472C4"/>
      <color rgb="FFF0FFDD"/>
      <color rgb="FFDCF9A9"/>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[BTL_mipham(demo).xlsm]PivotSheet!PT1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[BTL_mipham(demo).xlsm]PivotSheet!PT2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[BTL_mipham(demo).xlsm]PivotSheet!PT3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56</xdr:col>
      <xdr:colOff>0</xdr:colOff>
      <xdr:row>5</xdr:row>
      <xdr:rowOff>50800</xdr:rowOff>
    </xdr:from>
    <xdr:to>
      <xdr:col>61</xdr:col>
      <xdr:colOff>708025</xdr:colOff>
      <xdr:row>6</xdr:row>
      <xdr:rowOff>0</xdr:rowOff>
    </xdr:to>
    <xdr:sp macro="" textlink="">
      <xdr:nvSpPr>
        <xdr:cNvPr id="6" name="S_Mo_25/04/2022"/>
        <xdr:cNvSpPr/>
      </xdr:nvSpPr>
      <xdr:spPr>
        <a:xfrm>
          <a:off x="9705975" y="50800"/>
          <a:ext cx="4279900"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April-2022</a:t>
          </a:r>
        </a:p>
      </xdr:txBody>
    </xdr:sp>
    <xdr:clientData/>
  </xdr:twoCellAnchor>
  <xdr:twoCellAnchor>
    <xdr:from>
      <xdr:col>62</xdr:col>
      <xdr:colOff>0</xdr:colOff>
      <xdr:row>5</xdr:row>
      <xdr:rowOff>57150</xdr:rowOff>
    </xdr:from>
    <xdr:to>
      <xdr:col>91</xdr:col>
      <xdr:colOff>0</xdr:colOff>
      <xdr:row>6</xdr:row>
      <xdr:rowOff>6350</xdr:rowOff>
    </xdr:to>
    <xdr:sp macro="" textlink="">
      <xdr:nvSpPr>
        <xdr:cNvPr id="7" name="S_Mo_01/05/2022"/>
        <xdr:cNvSpPr/>
      </xdr:nvSpPr>
      <xdr:spPr>
        <a:xfrm>
          <a:off x="11191875" y="57150"/>
          <a:ext cx="7181850" cy="254000"/>
        </a:xfrm>
        <a:prstGeom prst="round2Same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4472C4"/>
              </a:solidFill>
            </a:rPr>
            <a:t>May-2022</a:t>
          </a:r>
        </a:p>
      </xdr:txBody>
    </xdr:sp>
    <xdr:clientData/>
  </xdr:twoCellAnchor>
  <xdr:twoCellAnchor>
    <xdr:from>
      <xdr:col>58</xdr:col>
      <xdr:colOff>12700</xdr:colOff>
      <xdr:row>10</xdr:row>
      <xdr:rowOff>38862</xdr:rowOff>
    </xdr:from>
    <xdr:to>
      <xdr:col>62</xdr:col>
      <xdr:colOff>234950</xdr:colOff>
      <xdr:row>10</xdr:row>
      <xdr:rowOff>189738</xdr:rowOff>
    </xdr:to>
    <xdr:sp macro="" textlink="">
      <xdr:nvSpPr>
        <xdr:cNvPr id="23" name="S_TE_1"/>
        <xdr:cNvSpPr/>
      </xdr:nvSpPr>
      <xdr:spPr>
        <a:xfrm>
          <a:off x="10213975" y="1029462"/>
          <a:ext cx="121285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12700</xdr:colOff>
      <xdr:row>11</xdr:row>
      <xdr:rowOff>38862</xdr:rowOff>
    </xdr:from>
    <xdr:to>
      <xdr:col>64</xdr:col>
      <xdr:colOff>234950</xdr:colOff>
      <xdr:row>11</xdr:row>
      <xdr:rowOff>189738</xdr:rowOff>
    </xdr:to>
    <xdr:sp macro="" textlink="">
      <xdr:nvSpPr>
        <xdr:cNvPr id="33" name="S_TE_2"/>
        <xdr:cNvSpPr/>
      </xdr:nvSpPr>
      <xdr:spPr>
        <a:xfrm>
          <a:off x="10213975" y="1258062"/>
          <a:ext cx="170815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12700</xdr:colOff>
      <xdr:row>13</xdr:row>
      <xdr:rowOff>38862</xdr:rowOff>
    </xdr:from>
    <xdr:to>
      <xdr:col>70</xdr:col>
      <xdr:colOff>234950</xdr:colOff>
      <xdr:row>13</xdr:row>
      <xdr:rowOff>189738</xdr:rowOff>
    </xdr:to>
    <xdr:sp macro="" textlink="">
      <xdr:nvSpPr>
        <xdr:cNvPr id="49" name="S_TE_3"/>
        <xdr:cNvSpPr/>
      </xdr:nvSpPr>
      <xdr:spPr>
        <a:xfrm>
          <a:off x="11947525" y="1486662"/>
          <a:ext cx="146050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12700</xdr:colOff>
      <xdr:row>14</xdr:row>
      <xdr:rowOff>38862</xdr:rowOff>
    </xdr:from>
    <xdr:to>
      <xdr:col>61</xdr:col>
      <xdr:colOff>234950</xdr:colOff>
      <xdr:row>14</xdr:row>
      <xdr:rowOff>189738</xdr:rowOff>
    </xdr:to>
    <xdr:sp macro="" textlink="">
      <xdr:nvSpPr>
        <xdr:cNvPr id="61" name="S_TE_4"/>
        <xdr:cNvSpPr/>
      </xdr:nvSpPr>
      <xdr:spPr>
        <a:xfrm>
          <a:off x="10213975" y="1715262"/>
          <a:ext cx="96520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12700</xdr:colOff>
      <xdr:row>16</xdr:row>
      <xdr:rowOff>38862</xdr:rowOff>
    </xdr:from>
    <xdr:to>
      <xdr:col>65</xdr:col>
      <xdr:colOff>234950</xdr:colOff>
      <xdr:row>16</xdr:row>
      <xdr:rowOff>189738</xdr:rowOff>
    </xdr:to>
    <xdr:sp macro="" textlink="">
      <xdr:nvSpPr>
        <xdr:cNvPr id="74" name="S_TE_5"/>
        <xdr:cNvSpPr/>
      </xdr:nvSpPr>
      <xdr:spPr>
        <a:xfrm>
          <a:off x="11204575" y="1943862"/>
          <a:ext cx="965200" cy="150876"/>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12700</xdr:colOff>
      <xdr:row>18</xdr:row>
      <xdr:rowOff>38862</xdr:rowOff>
    </xdr:from>
    <xdr:to>
      <xdr:col>73</xdr:col>
      <xdr:colOff>234950</xdr:colOff>
      <xdr:row>18</xdr:row>
      <xdr:rowOff>189738</xdr:rowOff>
    </xdr:to>
    <xdr:sp macro="" textlink="">
      <xdr:nvSpPr>
        <xdr:cNvPr id="38" name="S_TE_7"/>
        <xdr:cNvSpPr/>
      </xdr:nvSpPr>
      <xdr:spPr>
        <a:xfrm>
          <a:off x="13042900" y="2401062"/>
          <a:ext cx="965200" cy="150876"/>
        </a:xfrm>
        <a:prstGeom prst="rect">
          <a:avLst/>
        </a:prstGeom>
        <a:solidFill>
          <a:srgbClr val="A7E8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12700</xdr:colOff>
      <xdr:row>19</xdr:row>
      <xdr:rowOff>38862</xdr:rowOff>
    </xdr:from>
    <xdr:to>
      <xdr:col>72</xdr:col>
      <xdr:colOff>234950</xdr:colOff>
      <xdr:row>19</xdr:row>
      <xdr:rowOff>189738</xdr:rowOff>
    </xdr:to>
    <xdr:sp macro="" textlink="">
      <xdr:nvSpPr>
        <xdr:cNvPr id="45" name="S_TE_8"/>
        <xdr:cNvSpPr/>
      </xdr:nvSpPr>
      <xdr:spPr>
        <a:xfrm>
          <a:off x="13042900" y="2629662"/>
          <a:ext cx="717550" cy="150876"/>
        </a:xfrm>
        <a:prstGeom prst="rect">
          <a:avLst/>
        </a:prstGeom>
        <a:solidFill>
          <a:srgbClr val="A7E8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12700</xdr:colOff>
      <xdr:row>21</xdr:row>
      <xdr:rowOff>38862</xdr:rowOff>
    </xdr:from>
    <xdr:to>
      <xdr:col>77</xdr:col>
      <xdr:colOff>234950</xdr:colOff>
      <xdr:row>21</xdr:row>
      <xdr:rowOff>189738</xdr:rowOff>
    </xdr:to>
    <xdr:sp macro="" textlink="">
      <xdr:nvSpPr>
        <xdr:cNvPr id="60" name="S_TE_9"/>
        <xdr:cNvSpPr/>
      </xdr:nvSpPr>
      <xdr:spPr>
        <a:xfrm>
          <a:off x="14033500" y="2858262"/>
          <a:ext cx="965200" cy="150876"/>
        </a:xfrm>
        <a:prstGeom prst="rect">
          <a:avLst/>
        </a:prstGeom>
        <a:solidFill>
          <a:srgbClr val="A7E8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12700</xdr:colOff>
      <xdr:row>17</xdr:row>
      <xdr:rowOff>38862</xdr:rowOff>
    </xdr:from>
    <xdr:to>
      <xdr:col>64</xdr:col>
      <xdr:colOff>234950</xdr:colOff>
      <xdr:row>17</xdr:row>
      <xdr:rowOff>189738</xdr:rowOff>
    </xdr:to>
    <xdr:sp macro="" textlink="">
      <xdr:nvSpPr>
        <xdr:cNvPr id="64" name="S_TE_6"/>
        <xdr:cNvSpPr/>
      </xdr:nvSpPr>
      <xdr:spPr>
        <a:xfrm>
          <a:off x="10071100" y="2172462"/>
          <a:ext cx="1708150" cy="150876"/>
        </a:xfrm>
        <a:prstGeom prst="rect">
          <a:avLst/>
        </a:prstGeom>
        <a:solidFill>
          <a:srgbClr val="A7E8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43815</xdr:colOff>
      <xdr:row>9</xdr:row>
      <xdr:rowOff>34290</xdr:rowOff>
    </xdr:from>
    <xdr:to>
      <xdr:col>58</xdr:col>
      <xdr:colOff>203835</xdr:colOff>
      <xdr:row>9</xdr:row>
      <xdr:rowOff>194310</xdr:rowOff>
    </xdr:to>
    <xdr:sp macro="" textlink="">
      <xdr:nvSpPr>
        <xdr:cNvPr id="68" name="S_ME_10"/>
        <xdr:cNvSpPr/>
      </xdr:nvSpPr>
      <xdr:spPr>
        <a:xfrm>
          <a:off x="10102215" y="1024890"/>
          <a:ext cx="160020" cy="160020"/>
        </a:xfrm>
        <a:prstGeom prst="flowChartDecision">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43815</xdr:colOff>
      <xdr:row>12</xdr:row>
      <xdr:rowOff>34290</xdr:rowOff>
    </xdr:from>
    <xdr:to>
      <xdr:col>65</xdr:col>
      <xdr:colOff>203835</xdr:colOff>
      <xdr:row>12</xdr:row>
      <xdr:rowOff>194310</xdr:rowOff>
    </xdr:to>
    <xdr:sp macro="" textlink="">
      <xdr:nvSpPr>
        <xdr:cNvPr id="73" name="S_ME_11"/>
        <xdr:cNvSpPr/>
      </xdr:nvSpPr>
      <xdr:spPr>
        <a:xfrm>
          <a:off x="11835765" y="1710690"/>
          <a:ext cx="160020" cy="160020"/>
        </a:xfrm>
        <a:prstGeom prst="flowChartDecision">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43815</xdr:colOff>
      <xdr:row>15</xdr:row>
      <xdr:rowOff>34290</xdr:rowOff>
    </xdr:from>
    <xdr:to>
      <xdr:col>62</xdr:col>
      <xdr:colOff>203835</xdr:colOff>
      <xdr:row>15</xdr:row>
      <xdr:rowOff>194310</xdr:rowOff>
    </xdr:to>
    <xdr:sp macro="" textlink="">
      <xdr:nvSpPr>
        <xdr:cNvPr id="79" name="S_ME_12"/>
        <xdr:cNvSpPr/>
      </xdr:nvSpPr>
      <xdr:spPr>
        <a:xfrm>
          <a:off x="11092815" y="2396490"/>
          <a:ext cx="160020" cy="160020"/>
        </a:xfrm>
        <a:prstGeom prst="flowChartDecision">
          <a:avLst/>
        </a:prstGeom>
        <a:solidFill>
          <a:srgbClr val="FFC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43814</xdr:colOff>
      <xdr:row>20</xdr:row>
      <xdr:rowOff>34290</xdr:rowOff>
    </xdr:from>
    <xdr:to>
      <xdr:col>74</xdr:col>
      <xdr:colOff>203834</xdr:colOff>
      <xdr:row>20</xdr:row>
      <xdr:rowOff>194310</xdr:rowOff>
    </xdr:to>
    <xdr:sp macro="" textlink="">
      <xdr:nvSpPr>
        <xdr:cNvPr id="83" name="S_ME_13"/>
        <xdr:cNvSpPr/>
      </xdr:nvSpPr>
      <xdr:spPr>
        <a:xfrm>
          <a:off x="14064614" y="3539490"/>
          <a:ext cx="160020" cy="160020"/>
        </a:xfrm>
        <a:prstGeom prst="flowChartDecision">
          <a:avLst/>
        </a:prstGeom>
        <a:solidFill>
          <a:srgbClr val="FFC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25400</xdr:colOff>
      <xdr:row>10</xdr:row>
      <xdr:rowOff>38862</xdr:rowOff>
    </xdr:from>
    <xdr:to>
      <xdr:col>73</xdr:col>
      <xdr:colOff>120650</xdr:colOff>
      <xdr:row>10</xdr:row>
      <xdr:rowOff>189738</xdr:rowOff>
    </xdr:to>
    <xdr:sp macro="" textlink="">
      <xdr:nvSpPr>
        <xdr:cNvPr id="11" name="S_TGB_1"/>
        <xdr:cNvSpPr/>
      </xdr:nvSpPr>
      <xdr:spPr>
        <a:xfrm>
          <a:off x="10226675" y="1029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1</a:t>
          </a:r>
        </a:p>
      </xdr:txBody>
    </xdr:sp>
    <xdr:clientData/>
  </xdr:twoCellAnchor>
  <xdr:twoCellAnchor>
    <xdr:from>
      <xdr:col>58</xdr:col>
      <xdr:colOff>12700</xdr:colOff>
      <xdr:row>11</xdr:row>
      <xdr:rowOff>38862</xdr:rowOff>
    </xdr:from>
    <xdr:to>
      <xdr:col>73</xdr:col>
      <xdr:colOff>107950</xdr:colOff>
      <xdr:row>11</xdr:row>
      <xdr:rowOff>189738</xdr:rowOff>
    </xdr:to>
    <xdr:sp macro="" textlink="">
      <xdr:nvSpPr>
        <xdr:cNvPr id="15" name="S_TGB_2"/>
        <xdr:cNvSpPr/>
      </xdr:nvSpPr>
      <xdr:spPr>
        <a:xfrm>
          <a:off x="10213975" y="1258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2</a:t>
          </a:r>
        </a:p>
      </xdr:txBody>
    </xdr:sp>
    <xdr:clientData/>
  </xdr:twoCellAnchor>
  <xdr:twoCellAnchor>
    <xdr:from>
      <xdr:col>65</xdr:col>
      <xdr:colOff>12700</xdr:colOff>
      <xdr:row>13</xdr:row>
      <xdr:rowOff>38862</xdr:rowOff>
    </xdr:from>
    <xdr:to>
      <xdr:col>80</xdr:col>
      <xdr:colOff>107950</xdr:colOff>
      <xdr:row>13</xdr:row>
      <xdr:rowOff>189738</xdr:rowOff>
    </xdr:to>
    <xdr:sp macro="" textlink="">
      <xdr:nvSpPr>
        <xdr:cNvPr id="50" name="S_TGB_3"/>
        <xdr:cNvSpPr/>
      </xdr:nvSpPr>
      <xdr:spPr>
        <a:xfrm>
          <a:off x="11947525" y="1486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3</a:t>
          </a:r>
        </a:p>
      </xdr:txBody>
    </xdr:sp>
    <xdr:clientData/>
  </xdr:twoCellAnchor>
  <xdr:twoCellAnchor>
    <xdr:from>
      <xdr:col>58</xdr:col>
      <xdr:colOff>12700</xdr:colOff>
      <xdr:row>14</xdr:row>
      <xdr:rowOff>38862</xdr:rowOff>
    </xdr:from>
    <xdr:to>
      <xdr:col>73</xdr:col>
      <xdr:colOff>107950</xdr:colOff>
      <xdr:row>14</xdr:row>
      <xdr:rowOff>189738</xdr:rowOff>
    </xdr:to>
    <xdr:sp macro="" textlink="">
      <xdr:nvSpPr>
        <xdr:cNvPr id="54" name="S_TGB_4"/>
        <xdr:cNvSpPr/>
      </xdr:nvSpPr>
      <xdr:spPr>
        <a:xfrm>
          <a:off x="10213975" y="1715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4</a:t>
          </a:r>
        </a:p>
      </xdr:txBody>
    </xdr:sp>
    <xdr:clientData/>
  </xdr:twoCellAnchor>
  <xdr:twoCellAnchor>
    <xdr:from>
      <xdr:col>62</xdr:col>
      <xdr:colOff>12700</xdr:colOff>
      <xdr:row>16</xdr:row>
      <xdr:rowOff>38862</xdr:rowOff>
    </xdr:from>
    <xdr:to>
      <xdr:col>77</xdr:col>
      <xdr:colOff>107950</xdr:colOff>
      <xdr:row>16</xdr:row>
      <xdr:rowOff>189738</xdr:rowOff>
    </xdr:to>
    <xdr:sp macro="" textlink="">
      <xdr:nvSpPr>
        <xdr:cNvPr id="71" name="S_TGB_5"/>
        <xdr:cNvSpPr/>
      </xdr:nvSpPr>
      <xdr:spPr>
        <a:xfrm>
          <a:off x="11204575" y="1943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5</a:t>
          </a:r>
        </a:p>
      </xdr:txBody>
    </xdr:sp>
    <xdr:clientData/>
  </xdr:twoCellAnchor>
  <xdr:twoCellAnchor>
    <xdr:from>
      <xdr:col>70</xdr:col>
      <xdr:colOff>12700</xdr:colOff>
      <xdr:row>18</xdr:row>
      <xdr:rowOff>38862</xdr:rowOff>
    </xdr:from>
    <xdr:to>
      <xdr:col>85</xdr:col>
      <xdr:colOff>107950</xdr:colOff>
      <xdr:row>18</xdr:row>
      <xdr:rowOff>189738</xdr:rowOff>
    </xdr:to>
    <xdr:sp macro="" textlink="">
      <xdr:nvSpPr>
        <xdr:cNvPr id="35" name="S_TGB_7"/>
        <xdr:cNvSpPr/>
      </xdr:nvSpPr>
      <xdr:spPr>
        <a:xfrm>
          <a:off x="13042900" y="2401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7</a:t>
          </a:r>
        </a:p>
      </xdr:txBody>
    </xdr:sp>
    <xdr:clientData/>
  </xdr:twoCellAnchor>
  <xdr:twoCellAnchor>
    <xdr:from>
      <xdr:col>70</xdr:col>
      <xdr:colOff>12700</xdr:colOff>
      <xdr:row>19</xdr:row>
      <xdr:rowOff>38862</xdr:rowOff>
    </xdr:from>
    <xdr:to>
      <xdr:col>85</xdr:col>
      <xdr:colOff>107950</xdr:colOff>
      <xdr:row>19</xdr:row>
      <xdr:rowOff>189738</xdr:rowOff>
    </xdr:to>
    <xdr:sp macro="" textlink="">
      <xdr:nvSpPr>
        <xdr:cNvPr id="42" name="S_TGB_8"/>
        <xdr:cNvSpPr/>
      </xdr:nvSpPr>
      <xdr:spPr>
        <a:xfrm>
          <a:off x="13042900" y="2629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8</a:t>
          </a:r>
        </a:p>
      </xdr:txBody>
    </xdr:sp>
    <xdr:clientData/>
  </xdr:twoCellAnchor>
  <xdr:twoCellAnchor>
    <xdr:from>
      <xdr:col>74</xdr:col>
      <xdr:colOff>12700</xdr:colOff>
      <xdr:row>21</xdr:row>
      <xdr:rowOff>38862</xdr:rowOff>
    </xdr:from>
    <xdr:to>
      <xdr:col>89</xdr:col>
      <xdr:colOff>107950</xdr:colOff>
      <xdr:row>21</xdr:row>
      <xdr:rowOff>189738</xdr:rowOff>
    </xdr:to>
    <xdr:sp macro="" textlink="">
      <xdr:nvSpPr>
        <xdr:cNvPr id="53" name="S_TGB_9"/>
        <xdr:cNvSpPr/>
      </xdr:nvSpPr>
      <xdr:spPr>
        <a:xfrm>
          <a:off x="14033500" y="2858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9</a:t>
          </a:r>
        </a:p>
      </xdr:txBody>
    </xdr:sp>
    <xdr:clientData/>
  </xdr:twoCellAnchor>
  <xdr:twoCellAnchor>
    <xdr:from>
      <xdr:col>58</xdr:col>
      <xdr:colOff>12700</xdr:colOff>
      <xdr:row>17</xdr:row>
      <xdr:rowOff>38862</xdr:rowOff>
    </xdr:from>
    <xdr:to>
      <xdr:col>73</xdr:col>
      <xdr:colOff>107950</xdr:colOff>
      <xdr:row>17</xdr:row>
      <xdr:rowOff>189738</xdr:rowOff>
    </xdr:to>
    <xdr:sp macro="" textlink="">
      <xdr:nvSpPr>
        <xdr:cNvPr id="65" name="S_TGB_6"/>
        <xdr:cNvSpPr/>
      </xdr:nvSpPr>
      <xdr:spPr>
        <a:xfrm>
          <a:off x="10071100" y="2172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Công việc 6</a:t>
          </a:r>
        </a:p>
      </xdr:txBody>
    </xdr:sp>
    <xdr:clientData/>
  </xdr:twoCellAnchor>
  <xdr:twoCellAnchor>
    <xdr:from>
      <xdr:col>58</xdr:col>
      <xdr:colOff>127000</xdr:colOff>
      <xdr:row>9</xdr:row>
      <xdr:rowOff>38862</xdr:rowOff>
    </xdr:from>
    <xdr:to>
      <xdr:col>73</xdr:col>
      <xdr:colOff>222250</xdr:colOff>
      <xdr:row>9</xdr:row>
      <xdr:rowOff>189738</xdr:rowOff>
    </xdr:to>
    <xdr:sp macro="" textlink="">
      <xdr:nvSpPr>
        <xdr:cNvPr id="69" name="S_TGB_10"/>
        <xdr:cNvSpPr/>
      </xdr:nvSpPr>
      <xdr:spPr>
        <a:xfrm>
          <a:off x="10185400" y="1029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Start</a:t>
          </a:r>
        </a:p>
      </xdr:txBody>
    </xdr:sp>
    <xdr:clientData/>
  </xdr:twoCellAnchor>
  <xdr:twoCellAnchor>
    <xdr:from>
      <xdr:col>65</xdr:col>
      <xdr:colOff>127000</xdr:colOff>
      <xdr:row>12</xdr:row>
      <xdr:rowOff>38862</xdr:rowOff>
    </xdr:from>
    <xdr:to>
      <xdr:col>80</xdr:col>
      <xdr:colOff>222250</xdr:colOff>
      <xdr:row>12</xdr:row>
      <xdr:rowOff>189738</xdr:rowOff>
    </xdr:to>
    <xdr:sp macro="" textlink="">
      <xdr:nvSpPr>
        <xdr:cNvPr id="75" name="S_TGB_11"/>
        <xdr:cNvSpPr/>
      </xdr:nvSpPr>
      <xdr:spPr>
        <a:xfrm>
          <a:off x="11918950" y="1715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M2cv1&amp;cv2)</a:t>
          </a:r>
        </a:p>
      </xdr:txBody>
    </xdr:sp>
    <xdr:clientData/>
  </xdr:twoCellAnchor>
  <xdr:twoCellAnchor>
    <xdr:from>
      <xdr:col>62</xdr:col>
      <xdr:colOff>127000</xdr:colOff>
      <xdr:row>15</xdr:row>
      <xdr:rowOff>38862</xdr:rowOff>
    </xdr:from>
    <xdr:to>
      <xdr:col>77</xdr:col>
      <xdr:colOff>222250</xdr:colOff>
      <xdr:row>15</xdr:row>
      <xdr:rowOff>189738</xdr:rowOff>
    </xdr:to>
    <xdr:sp macro="" textlink="">
      <xdr:nvSpPr>
        <xdr:cNvPr id="80" name="S_TGB_12"/>
        <xdr:cNvSpPr/>
      </xdr:nvSpPr>
      <xdr:spPr>
        <a:xfrm>
          <a:off x="11176000" y="2401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M1(cv4)</a:t>
          </a:r>
        </a:p>
      </xdr:txBody>
    </xdr:sp>
    <xdr:clientData/>
  </xdr:twoCellAnchor>
  <xdr:twoCellAnchor>
    <xdr:from>
      <xdr:col>58</xdr:col>
      <xdr:colOff>0</xdr:colOff>
      <xdr:row>9</xdr:row>
      <xdr:rowOff>0</xdr:rowOff>
    </xdr:from>
    <xdr:to>
      <xdr:col>58</xdr:col>
      <xdr:colOff>1270</xdr:colOff>
      <xdr:row>22</xdr:row>
      <xdr:rowOff>0</xdr:rowOff>
    </xdr:to>
    <xdr:sp macro="" textlink="">
      <xdr:nvSpPr>
        <xdr:cNvPr id="85" name="S_Today_LineLeft"/>
        <xdr:cNvSpPr/>
      </xdr:nvSpPr>
      <xdr:spPr>
        <a:xfrm>
          <a:off x="10058400" y="990600"/>
          <a:ext cx="1270" cy="2971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58</xdr:col>
      <xdr:colOff>234950</xdr:colOff>
      <xdr:row>9</xdr:row>
      <xdr:rowOff>0</xdr:rowOff>
    </xdr:from>
    <xdr:to>
      <xdr:col>58</xdr:col>
      <xdr:colOff>236220</xdr:colOff>
      <xdr:row>22</xdr:row>
      <xdr:rowOff>0</xdr:rowOff>
    </xdr:to>
    <xdr:sp macro="" textlink="">
      <xdr:nvSpPr>
        <xdr:cNvPr id="86" name="S_Today_LineRight"/>
        <xdr:cNvSpPr/>
      </xdr:nvSpPr>
      <xdr:spPr>
        <a:xfrm>
          <a:off x="10293350" y="990600"/>
          <a:ext cx="1270" cy="29718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74</xdr:col>
      <xdr:colOff>193675</xdr:colOff>
      <xdr:row>20</xdr:row>
      <xdr:rowOff>38862</xdr:rowOff>
    </xdr:from>
    <xdr:to>
      <xdr:col>90</xdr:col>
      <xdr:colOff>41275</xdr:colOff>
      <xdr:row>20</xdr:row>
      <xdr:rowOff>189738</xdr:rowOff>
    </xdr:to>
    <xdr:sp macro="" textlink="">
      <xdr:nvSpPr>
        <xdr:cNvPr id="84" name="S_TGB_13"/>
        <xdr:cNvSpPr/>
      </xdr:nvSpPr>
      <xdr:spPr>
        <a:xfrm>
          <a:off x="14214475" y="3544062"/>
          <a:ext cx="3810000" cy="150876"/>
        </a:xfrm>
        <a:prstGeom prst="rect">
          <a:avLst/>
        </a:prstGeom>
        <a:no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M3(cv7&amp;cv8)</a:t>
          </a:r>
        </a:p>
      </xdr:txBody>
    </xdr:sp>
    <xdr:clientData/>
  </xdr:twoCellAnchor>
  <xdr:twoCellAnchor>
    <xdr:from>
      <xdr:col>10</xdr:col>
      <xdr:colOff>0</xdr:colOff>
      <xdr:row>9</xdr:row>
      <xdr:rowOff>50800</xdr:rowOff>
    </xdr:from>
    <xdr:to>
      <xdr:col>18</xdr:col>
      <xdr:colOff>269875</xdr:colOff>
      <xdr:row>14</xdr:row>
      <xdr:rowOff>177800</xdr:rowOff>
    </xdr:to>
    <xdr:sp macro="" textlink="">
      <xdr:nvSpPr>
        <xdr:cNvPr id="2" name="SMacros"/>
        <xdr:cNvSpPr/>
      </xdr:nvSpPr>
      <xdr:spPr>
        <a:xfrm>
          <a:off x="666750" y="1041400"/>
          <a:ext cx="5080000" cy="1270000"/>
        </a:xfrm>
        <a:prstGeom prst="round2Same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4d" refreshedDate="44416.821233796298" createdVersion="7" refreshedVersion="7" minRefreshableVersion="3" recordCount="4">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source"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ty" cache="Slicer_Priority" caption="Priority" style="SlicerStyleLight2" rowHeight="241300"/>
  <slicer name="Status" cache="Slicer_Status" caption="Status" style="SlicerStyleLight6" rowHeight="241300"/>
  <slicer name="Resource" cache="Slicer_Resource" caption="Resource" style="SlicerStyleLight4" rowHeight="241300"/>
</slicers>
</file>

<file path=xl/tables/table1.xml><?xml version="1.0" encoding="utf-8"?>
<table xmlns="http://schemas.openxmlformats.org/spreadsheetml/2006/main" id="2" name="DashboardTable" displayName="DashboardTable" ref="A1:BG5" totalsRowShown="0">
  <autoFilter ref="A1:BG5"/>
  <tableColumns count="59">
    <tableColumn id="1" name="ProjectID"/>
    <tableColumn id="2" name="dType"/>
    <tableColumn id="3" name="GEType"/>
    <tableColumn id="4" name="TID"/>
    <tableColumn id="5" name="Dependency"/>
    <tableColumn id="6" name="Dependents"/>
    <tableColumn id="7" name="StartConstrain"/>
    <tableColumn id="8" name="EndConstrain"/>
    <tableColumn id="9" name="TIL"/>
    <tableColumn id="10" name="SS"/>
    <tableColumn id="11" name="TaskIcon"/>
    <tableColumn id="12" name="WBS"/>
    <tableColumn id="13" name="Task"/>
    <tableColumn id="14" name="Priority"/>
    <tableColumn id="15" name="Status"/>
    <tableColumn id="16" name="Resource"/>
    <tableColumn id="17" name="ResourceCost"/>
    <tableColumn id="18" name="BSD"/>
    <tableColumn id="19" name="BED"/>
    <tableColumn id="20" name="BD"/>
    <tableColumn id="21" name="ESD" dataDxfId="2"/>
    <tableColumn id="22" name="EED" dataDxfId="1"/>
    <tableColumn id="23" name="ED"/>
    <tableColumn id="24" name="Work"/>
    <tableColumn id="25" name="Done"/>
    <tableColumn id="26" name="PercentageCompleted"/>
    <tableColumn id="27" name="ASD"/>
    <tableColumn id="28" name="AED"/>
    <tableColumn id="29" name="AD"/>
    <tableColumn id="30" name="BCS"/>
    <tableColumn id="31" name="ECS"/>
    <tableColumn id="32" name="ACS"/>
    <tableColumn id="33" name="Notes"/>
    <tableColumn id="34" name="TColor"/>
    <tableColumn id="35" name="TPColor"/>
    <tableColumn id="36" name="BLColor"/>
    <tableColumn id="37" name="ACColor"/>
    <tableColumn id="38" name="Custom 1"/>
    <tableColumn id="39" name="Custom 2"/>
    <tableColumn id="40" name="Custom 3"/>
    <tableColumn id="41" name="Custom 4"/>
    <tableColumn id="42" name="Custom 5"/>
    <tableColumn id="43" name="Custom 6"/>
    <tableColumn id="44" name="Custom 7"/>
    <tableColumn id="45" name="Custom 8"/>
    <tableColumn id="46" name="Custom 9"/>
    <tableColumn id="47" name="Custom 10"/>
    <tableColumn id="48" name="Custom 11"/>
    <tableColumn id="49" name="Custom 12"/>
    <tableColumn id="50" name="Custom 13"/>
    <tableColumn id="51" name="Custom 14"/>
    <tableColumn id="52" name="Custom 15"/>
    <tableColumn id="53" name="Custom 16"/>
    <tableColumn id="54" name="Custom 17"/>
    <tableColumn id="55" name="Custom 18"/>
    <tableColumn id="56" name="Custom 19"/>
    <tableColumn id="57" name="Custom 20"/>
    <tableColumn id="58" name="LC"/>
    <tableColumn id="59"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EED"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EED 2"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o&amp;utm_medium=102397865792139765133946693994864013771059744140" TargetMode="External"/><Relationship Id="rId2" Type="http://schemas.openxmlformats.org/officeDocument/2006/relationships/hyperlink" Target="https://www.ganttexcel.com/documentation/?utm_source=xlo&amp;utm_medium=102397865792139765133946693994864013771059744140" TargetMode="External"/><Relationship Id="rId1" Type="http://schemas.openxmlformats.org/officeDocument/2006/relationships/hyperlink" Target="https://www.ganttexcel.com/documentation/enable-macros/?utm_source=xlo&amp;utm_medium=1023978657921397651339466939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DD"/>
  <dimension ref="A1:BG5"/>
  <sheetViews>
    <sheetView workbookViewId="0">
      <selection activeCell="B33" sqref="B33"/>
    </sheetView>
  </sheetViews>
  <sheetFormatPr defaultRowHeight="15" x14ac:dyDescent="0.25"/>
  <cols>
    <col min="1" max="4" width="12.85546875" customWidth="1"/>
    <col min="5" max="5" width="15" customWidth="1"/>
    <col min="6" max="6" width="14.7109375" customWidth="1"/>
    <col min="7" max="7" width="16.42578125" customWidth="1"/>
    <col min="8" max="8" width="15.5703125" customWidth="1"/>
    <col min="9" max="16" width="12.85546875" customWidth="1"/>
    <col min="17" max="17" width="15.140625" customWidth="1"/>
    <col min="18" max="23" width="12.85546875" customWidth="1"/>
    <col min="24" max="24" width="13" customWidth="1"/>
    <col min="25" max="26" width="23" customWidth="1"/>
    <col min="27" max="57" width="12.85546875" customWidth="1"/>
    <col min="58" max="61" width="11" customWidth="1"/>
  </cols>
  <sheetData>
    <row r="1" spans="1:59" x14ac:dyDescent="0.25">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25">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25">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25">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25">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
  <dimension ref="A1:LW10"/>
  <sheetViews>
    <sheetView workbookViewId="0">
      <selection activeCell="G26" sqref="G26"/>
    </sheetView>
  </sheetViews>
  <sheetFormatPr defaultColWidth="9.140625" defaultRowHeight="15" x14ac:dyDescent="0.25"/>
  <cols>
    <col min="1" max="1" width="9.140625" style="52"/>
    <col min="2" max="2" width="9.140625" style="63"/>
    <col min="3" max="11" width="9.140625" style="52"/>
    <col min="12" max="12" width="14.85546875" style="87" customWidth="1"/>
    <col min="13" max="13" width="14.85546875" style="88" customWidth="1"/>
    <col min="14" max="14" width="12.85546875" style="52" customWidth="1"/>
    <col min="15" max="19" width="9.140625" style="52"/>
    <col min="20" max="20" width="12.7109375" style="52" customWidth="1"/>
    <col min="21" max="27" width="9.140625" style="52"/>
    <col min="28" max="28" width="19.7109375" style="52" customWidth="1"/>
    <col min="29" max="45" width="9.140625" style="52"/>
    <col min="46" max="46" width="9.140625" style="88"/>
    <col min="47" max="64" width="9.140625" style="52"/>
    <col min="65" max="65" width="9.140625" style="57"/>
    <col min="66" max="71" width="9.140625" style="60"/>
    <col min="72" max="102" width="9.140625" style="52"/>
    <col min="103" max="103" width="9.140625" style="62"/>
    <col min="104" max="313" width="9.140625" style="52"/>
    <col min="314" max="325" width="9.140625" style="62"/>
    <col min="326" max="16384" width="9.140625" style="52"/>
  </cols>
  <sheetData>
    <row r="1" spans="1:335" x14ac:dyDescent="0.2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2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44678</v>
      </c>
      <c r="LO2" s="48">
        <v>1</v>
      </c>
      <c r="LP2" s="12" t="s">
        <v>245</v>
      </c>
      <c r="LQ2" s="49" t="s">
        <v>286</v>
      </c>
      <c r="LR2" s="49" t="s">
        <v>287</v>
      </c>
      <c r="LS2" s="49" t="s">
        <v>246</v>
      </c>
      <c r="LT2" s="12" t="s">
        <v>247</v>
      </c>
      <c r="LU2" s="12"/>
      <c r="LV2" s="50">
        <v>44678</v>
      </c>
    </row>
    <row r="3" spans="1:335" x14ac:dyDescent="0.2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2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2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2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2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2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2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2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DT"/>
  <dimension ref="A1:BA62"/>
  <sheetViews>
    <sheetView showGridLines="0" showRowColHeaders="0" zoomScaleNormal="100" workbookViewId="0">
      <selection activeCell="N1" sqref="N1:XFD1048576"/>
    </sheetView>
  </sheetViews>
  <sheetFormatPr defaultColWidth="0" defaultRowHeight="15" x14ac:dyDescent="0.25"/>
  <cols>
    <col min="1" max="1" width="1" style="98" customWidth="1"/>
    <col min="2" max="6" width="15.7109375" customWidth="1"/>
    <col min="7" max="7" width="15.7109375" style="98" customWidth="1"/>
    <col min="8" max="13" width="15.7109375" customWidth="1"/>
    <col min="14" max="15" width="15.7109375" hidden="1" customWidth="1"/>
    <col min="16" max="16" width="6.140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85546875" hidden="1" customWidth="1"/>
    <col min="23" max="23" width="10.140625" hidden="1" customWidth="1"/>
    <col min="24" max="24" width="9.7109375" hidden="1" customWidth="1"/>
    <col min="25" max="25" width="10.140625" hidden="1" customWidth="1"/>
    <col min="26" max="26" width="6" hidden="1" customWidth="1"/>
    <col min="27" max="27" width="10.42578125" hidden="1" customWidth="1"/>
    <col min="28" max="28" width="9.7109375" hidden="1" customWidth="1"/>
    <col min="29" max="30" width="6.140625" hidden="1" customWidth="1"/>
    <col min="31" max="16384" width="6" hidden="1"/>
  </cols>
  <sheetData>
    <row r="1" spans="1:53" s="2" customFormat="1" ht="11.25" customHeight="1" x14ac:dyDescent="0.25">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25" thickBot="1" x14ac:dyDescent="0.35">
      <c r="A2" s="108"/>
      <c r="B2" s="272"/>
      <c r="C2" s="272"/>
      <c r="D2" s="272"/>
      <c r="E2" s="272"/>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25">
      <c r="A3" s="124"/>
      <c r="B3" s="274" t="s">
        <v>11</v>
      </c>
      <c r="C3" s="274"/>
      <c r="D3" s="274"/>
      <c r="E3" s="274"/>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25">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25">
      <c r="A5" s="98"/>
      <c r="B5"/>
      <c r="C5"/>
      <c r="D5" s="103" t="s">
        <v>9</v>
      </c>
      <c r="E5" s="102" t="str">
        <f>IF(S2 = "","",S2)</f>
        <v/>
      </c>
      <c r="F5" s="6"/>
      <c r="G5" s="98"/>
      <c r="H5"/>
    </row>
    <row r="6" spans="1:53" s="2" customFormat="1" ht="15" customHeight="1" x14ac:dyDescent="0.25">
      <c r="A6" s="98"/>
      <c r="B6"/>
      <c r="C6"/>
      <c r="D6" s="103" t="s">
        <v>7</v>
      </c>
      <c r="E6" s="104">
        <f>AA2</f>
        <v>44398</v>
      </c>
      <c r="F6" s="5"/>
      <c r="G6" s="98"/>
      <c r="H6"/>
      <c r="J6" s="13"/>
      <c r="K6" s="13"/>
      <c r="L6" s="13"/>
      <c r="M6" s="13"/>
      <c r="N6" s="13"/>
      <c r="O6" s="13"/>
    </row>
    <row r="7" spans="1:53" s="2" customFormat="1" ht="15" customHeight="1" x14ac:dyDescent="0.25">
      <c r="A7" s="98"/>
      <c r="B7"/>
      <c r="C7"/>
      <c r="D7" s="103" t="s">
        <v>5</v>
      </c>
      <c r="E7" s="104">
        <f>AB2</f>
        <v>44411</v>
      </c>
      <c r="F7" s="5"/>
      <c r="G7" s="98"/>
      <c r="H7"/>
      <c r="J7" s="13"/>
      <c r="K7" s="13"/>
      <c r="L7" s="13"/>
      <c r="M7" s="13"/>
      <c r="N7" s="13"/>
      <c r="O7" s="13"/>
    </row>
    <row r="8" spans="1:53" s="2" customFormat="1" ht="15" customHeight="1" x14ac:dyDescent="0.25">
      <c r="A8" s="98"/>
      <c r="B8"/>
      <c r="C8"/>
      <c r="D8" s="115"/>
      <c r="E8" s="116"/>
      <c r="F8" s="4"/>
      <c r="G8" s="98"/>
      <c r="H8"/>
      <c r="J8" s="13"/>
      <c r="K8" s="13"/>
      <c r="L8" s="13"/>
      <c r="M8" s="13"/>
      <c r="N8" s="13"/>
      <c r="O8" s="13"/>
    </row>
    <row r="9" spans="1:53" s="2" customFormat="1" ht="15" customHeight="1" x14ac:dyDescent="0.25">
      <c r="A9" s="98"/>
      <c r="B9" s="269"/>
      <c r="C9" s="270"/>
      <c r="D9" s="101" t="s">
        <v>3</v>
      </c>
      <c r="E9" s="105">
        <f>AC2</f>
        <v>5</v>
      </c>
      <c r="F9" s="4"/>
      <c r="G9" s="98"/>
      <c r="H9"/>
    </row>
    <row r="10" spans="1:53" s="2" customFormat="1" ht="15" customHeight="1" x14ac:dyDescent="0.25">
      <c r="A10" s="98"/>
      <c r="B10"/>
      <c r="C10"/>
      <c r="D10" s="103" t="s">
        <v>56</v>
      </c>
      <c r="E10" s="105">
        <f>AD2</f>
        <v>0</v>
      </c>
      <c r="F10" s="4"/>
      <c r="G10" s="98"/>
      <c r="H10"/>
    </row>
    <row r="11" spans="1:53" s="2" customFormat="1" ht="15" customHeight="1" x14ac:dyDescent="0.25">
      <c r="A11" s="98"/>
      <c r="B11"/>
      <c r="C11"/>
      <c r="D11" s="103" t="s">
        <v>57</v>
      </c>
      <c r="E11" s="105">
        <f>AE2</f>
        <v>0</v>
      </c>
      <c r="F11" s="4"/>
      <c r="G11" s="98"/>
      <c r="H11"/>
    </row>
    <row r="12" spans="1:53" s="2" customFormat="1" ht="15" customHeight="1" x14ac:dyDescent="0.25">
      <c r="A12" s="98"/>
      <c r="B12"/>
      <c r="C12"/>
      <c r="D12" s="103" t="s">
        <v>58</v>
      </c>
      <c r="E12" s="105">
        <f>AF2</f>
        <v>5</v>
      </c>
      <c r="F12" s="3"/>
      <c r="G12" s="98"/>
      <c r="H12"/>
    </row>
    <row r="13" spans="1:53" s="2" customFormat="1" ht="15" customHeight="1" x14ac:dyDescent="0.25">
      <c r="A13" s="98"/>
      <c r="B13" s="97"/>
      <c r="C13" s="97"/>
      <c r="D13" s="103" t="s">
        <v>59</v>
      </c>
      <c r="E13" s="106">
        <f>AG2</f>
        <v>0</v>
      </c>
      <c r="F13" s="3"/>
      <c r="G13" s="98"/>
      <c r="H13" s="97"/>
    </row>
    <row r="14" spans="1:53" s="2" customFormat="1" ht="15" customHeight="1" x14ac:dyDescent="0.25">
      <c r="A14" s="98"/>
      <c r="B14" s="97"/>
      <c r="C14" s="97"/>
      <c r="D14" s="100"/>
      <c r="E14" s="99"/>
      <c r="F14" s="3"/>
      <c r="G14" s="98"/>
      <c r="H14" s="97"/>
    </row>
    <row r="15" spans="1:53" s="2" customFormat="1" ht="15.75" x14ac:dyDescent="0.25">
      <c r="A15" s="98"/>
      <c r="B15" s="273"/>
      <c r="C15" s="273"/>
      <c r="D15" s="273"/>
      <c r="E15" s="273"/>
      <c r="F15" s="113"/>
      <c r="G15" s="98"/>
      <c r="H15"/>
    </row>
    <row r="16" spans="1:53" s="7" customFormat="1" ht="15" customHeight="1" x14ac:dyDescent="0.25">
      <c r="A16" s="98"/>
      <c r="B16" s="1"/>
      <c r="C16" s="1"/>
      <c r="D16" s="125"/>
      <c r="E16" s="125"/>
      <c r="F16" s="1"/>
      <c r="G16" s="98"/>
      <c r="H16" s="1"/>
    </row>
    <row r="17" spans="1:8" s="2" customFormat="1" x14ac:dyDescent="0.25">
      <c r="A17" s="98"/>
      <c r="B17"/>
      <c r="C17"/>
      <c r="D17" s="1"/>
      <c r="E17" s="1"/>
      <c r="F17"/>
      <c r="G17" s="98"/>
      <c r="H17"/>
    </row>
    <row r="18" spans="1:8" s="2" customFormat="1" ht="15" customHeight="1" x14ac:dyDescent="0.25">
      <c r="A18" s="98"/>
      <c r="B18"/>
      <c r="C18"/>
      <c r="D18" s="271" t="str">
        <f>BA2</f>
        <v/>
      </c>
      <c r="E18" s="271"/>
      <c r="F18"/>
      <c r="G18" s="98"/>
      <c r="H18"/>
    </row>
    <row r="19" spans="1:8" s="2" customFormat="1" ht="15" customHeight="1" x14ac:dyDescent="0.25">
      <c r="A19" s="98"/>
      <c r="B19"/>
      <c r="C19"/>
      <c r="D19"/>
      <c r="E19"/>
      <c r="F19"/>
      <c r="G19" s="98"/>
      <c r="H19"/>
    </row>
    <row r="20" spans="1:8" s="2" customFormat="1" ht="15" customHeight="1" x14ac:dyDescent="0.25">
      <c r="A20" s="98"/>
      <c r="B20" s="268"/>
      <c r="C20" s="268"/>
      <c r="D20"/>
      <c r="E20"/>
      <c r="F20"/>
      <c r="G20" s="98"/>
      <c r="H20"/>
    </row>
    <row r="21" spans="1:8" s="2" customFormat="1" ht="15" customHeight="1" x14ac:dyDescent="0.25">
      <c r="A21" s="98"/>
      <c r="B21"/>
      <c r="C21"/>
      <c r="D21" s="8"/>
      <c r="E21"/>
      <c r="F21"/>
      <c r="G21" s="98"/>
      <c r="H21"/>
    </row>
    <row r="22" spans="1:8" s="2" customFormat="1" ht="15" customHeight="1" x14ac:dyDescent="0.25">
      <c r="A22" s="98"/>
      <c r="B22"/>
      <c r="C22"/>
      <c r="D22"/>
      <c r="E22"/>
      <c r="F22"/>
      <c r="G22" s="98"/>
      <c r="H22"/>
    </row>
    <row r="23" spans="1:8" s="2" customFormat="1" ht="15" customHeight="1" x14ac:dyDescent="0.25">
      <c r="A23" s="98"/>
      <c r="B23"/>
      <c r="C23"/>
      <c r="D23"/>
      <c r="E23"/>
      <c r="F23"/>
      <c r="G23" s="98"/>
      <c r="H23"/>
    </row>
    <row r="24" spans="1:8" s="2" customFormat="1" ht="15" customHeight="1" x14ac:dyDescent="0.25">
      <c r="A24" s="98"/>
      <c r="B24"/>
      <c r="C24"/>
      <c r="D24"/>
      <c r="E24"/>
      <c r="F24"/>
      <c r="G24" s="98"/>
      <c r="H24"/>
    </row>
    <row r="25" spans="1:8" s="2" customFormat="1" ht="15" customHeight="1" x14ac:dyDescent="0.25">
      <c r="A25" s="98"/>
      <c r="B25"/>
      <c r="C25"/>
      <c r="D25"/>
      <c r="E25"/>
      <c r="F25"/>
      <c r="G25" s="98"/>
      <c r="H25"/>
    </row>
    <row r="26" spans="1:8" s="7" customFormat="1" ht="15" customHeight="1" x14ac:dyDescent="0.25">
      <c r="A26" s="98"/>
      <c r="B26"/>
      <c r="C26"/>
      <c r="D26"/>
      <c r="E26"/>
      <c r="F26"/>
      <c r="G26" s="98"/>
      <c r="H26"/>
    </row>
    <row r="27" spans="1:8" s="2" customFormat="1" ht="15" customHeight="1" x14ac:dyDescent="0.25">
      <c r="A27" s="98"/>
      <c r="B27" s="1"/>
      <c r="C27" s="1"/>
      <c r="D27"/>
      <c r="E27"/>
      <c r="F27" s="1"/>
      <c r="G27" s="98"/>
      <c r="H27" s="1"/>
    </row>
    <row r="28" spans="1:8" s="2" customFormat="1" ht="15" customHeight="1" x14ac:dyDescent="0.25">
      <c r="A28" s="98"/>
      <c r="B28"/>
      <c r="C28"/>
      <c r="D28" s="1"/>
      <c r="E28" s="1"/>
      <c r="F28"/>
      <c r="G28" s="98"/>
      <c r="H28"/>
    </row>
    <row r="29" spans="1:8" s="2" customFormat="1" ht="15" customHeight="1" x14ac:dyDescent="0.25">
      <c r="A29" s="98"/>
      <c r="B29"/>
      <c r="C29"/>
      <c r="D29"/>
      <c r="E29"/>
      <c r="F29"/>
      <c r="G29" s="98"/>
      <c r="H29"/>
    </row>
    <row r="30" spans="1:8" s="2" customFormat="1" ht="15" customHeight="1" x14ac:dyDescent="0.25">
      <c r="A30" s="98"/>
      <c r="B30"/>
      <c r="C30"/>
      <c r="D30"/>
      <c r="E30"/>
      <c r="F30"/>
      <c r="G30" s="98"/>
      <c r="H30"/>
    </row>
    <row r="31" spans="1:8" s="2" customFormat="1" ht="15" customHeight="1" x14ac:dyDescent="0.25">
      <c r="A31" s="98"/>
      <c r="B31"/>
      <c r="C31"/>
      <c r="D31"/>
      <c r="E31"/>
      <c r="F31"/>
      <c r="G31" s="98"/>
      <c r="H31"/>
    </row>
    <row r="32" spans="1:8" s="2" customFormat="1" ht="15" customHeight="1" x14ac:dyDescent="0.25">
      <c r="A32" s="98"/>
      <c r="B32"/>
      <c r="C32"/>
      <c r="D32"/>
      <c r="E32"/>
      <c r="F32"/>
      <c r="G32" s="98"/>
      <c r="H32"/>
    </row>
    <row r="33" spans="1:8" s="2" customFormat="1" ht="15" customHeight="1" x14ac:dyDescent="0.25">
      <c r="A33" s="98"/>
      <c r="B33" s="91"/>
      <c r="C33" s="91"/>
      <c r="D33" s="8"/>
      <c r="E33"/>
      <c r="F33" s="91"/>
      <c r="G33" s="98"/>
      <c r="H33" s="91"/>
    </row>
    <row r="34" spans="1:8" s="2" customFormat="1" ht="15" customHeight="1" x14ac:dyDescent="0.25">
      <c r="A34" s="98"/>
      <c r="B34" s="91"/>
      <c r="C34" s="91"/>
      <c r="D34" s="91"/>
      <c r="E34" s="91"/>
      <c r="F34" s="91"/>
      <c r="G34" s="98"/>
      <c r="H34" s="91"/>
    </row>
    <row r="35" spans="1:8" s="2" customFormat="1" ht="15" customHeight="1" x14ac:dyDescent="0.25">
      <c r="A35" s="98"/>
      <c r="B35" s="93"/>
      <c r="C35" s="93"/>
      <c r="D35" s="91"/>
      <c r="E35" s="112"/>
      <c r="F35" s="93"/>
      <c r="G35" s="98"/>
      <c r="H35" s="91"/>
    </row>
    <row r="36" spans="1:8" s="2" customFormat="1" ht="15" customHeight="1" x14ac:dyDescent="0.25">
      <c r="A36" s="98"/>
      <c r="B36" s="93"/>
      <c r="C36" s="93"/>
      <c r="D36" s="93"/>
      <c r="E36" s="93"/>
      <c r="F36" s="93"/>
      <c r="G36" s="98"/>
      <c r="H36" s="91"/>
    </row>
    <row r="37" spans="1:8" s="2" customFormat="1" ht="15" customHeight="1" x14ac:dyDescent="0.25">
      <c r="A37" s="98"/>
      <c r="B37" s="93"/>
      <c r="C37" s="93"/>
      <c r="D37" s="93"/>
      <c r="E37" s="93"/>
      <c r="F37" s="93"/>
      <c r="G37" s="98"/>
      <c r="H37" s="91"/>
    </row>
    <row r="38" spans="1:8" s="2" customFormat="1" ht="15" customHeight="1" x14ac:dyDescent="0.25">
      <c r="A38" s="98"/>
      <c r="B38" s="93"/>
      <c r="C38" s="93"/>
      <c r="D38" s="93"/>
      <c r="E38" s="93"/>
      <c r="F38" s="93"/>
      <c r="G38" s="98"/>
      <c r="H38" s="91"/>
    </row>
    <row r="39" spans="1:8" s="2" customFormat="1" ht="15" customHeight="1" x14ac:dyDescent="0.25">
      <c r="A39" s="98"/>
      <c r="B39" s="93"/>
      <c r="C39" s="93"/>
      <c r="D39" s="93"/>
      <c r="E39" s="93"/>
      <c r="F39" s="93"/>
      <c r="G39" s="98"/>
      <c r="H39" s="91"/>
    </row>
    <row r="40" spans="1:8" s="2" customFormat="1" ht="15" customHeight="1" x14ac:dyDescent="0.25">
      <c r="A40" s="98"/>
      <c r="B40" s="93"/>
      <c r="C40" s="93"/>
      <c r="D40" s="93"/>
      <c r="E40" s="93"/>
      <c r="F40" s="93"/>
      <c r="G40" s="98"/>
      <c r="H40" s="91"/>
    </row>
    <row r="41" spans="1:8" s="2" customFormat="1" ht="15" customHeight="1" x14ac:dyDescent="0.25">
      <c r="A41" s="98"/>
      <c r="B41" s="93"/>
      <c r="C41" s="93"/>
      <c r="D41" s="93"/>
      <c r="E41" s="93"/>
      <c r="F41" s="93"/>
      <c r="G41" s="98"/>
      <c r="H41" s="91"/>
    </row>
    <row r="42" spans="1:8" s="2" customFormat="1" ht="15" customHeight="1" x14ac:dyDescent="0.25">
      <c r="A42" s="98"/>
      <c r="B42"/>
      <c r="C42"/>
      <c r="D42" s="93"/>
      <c r="E42" s="93"/>
      <c r="F42"/>
      <c r="G42" s="98"/>
      <c r="H42"/>
    </row>
    <row r="43" spans="1:8" s="2" customFormat="1" ht="15" customHeight="1" x14ac:dyDescent="0.25">
      <c r="A43" s="98"/>
      <c r="B43" s="1"/>
      <c r="C43" s="1"/>
      <c r="D43"/>
      <c r="E43"/>
      <c r="F43" s="1"/>
      <c r="G43" s="98"/>
      <c r="H43"/>
    </row>
    <row r="44" spans="1:8" s="2" customFormat="1" ht="15" customHeight="1" x14ac:dyDescent="0.25">
      <c r="A44" s="98"/>
      <c r="B44" s="1"/>
      <c r="C44" s="1"/>
      <c r="D44" s="1"/>
      <c r="E44" s="1"/>
      <c r="F44" s="1"/>
      <c r="G44" s="98"/>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VS"/>
  <dimension ref="A1:BU10"/>
  <sheetViews>
    <sheetView workbookViewId="0">
      <selection activeCell="B93" sqref="B93"/>
    </sheetView>
  </sheetViews>
  <sheetFormatPr defaultRowHeight="15" x14ac:dyDescent="0.25"/>
  <cols>
    <col min="1" max="1" width="13.140625" bestFit="1" customWidth="1"/>
    <col min="2" max="2" width="11.5703125" bestFit="1" customWidth="1"/>
    <col min="6" max="8" width="9.140625" style="128"/>
    <col min="10" max="11" width="13.140625" bestFit="1" customWidth="1"/>
    <col min="12" max="12" width="11.5703125" bestFit="1" customWidth="1"/>
    <col min="13" max="13" width="8.7109375" bestFit="1" customWidth="1"/>
    <col min="14" max="14" width="8.28515625" bestFit="1" customWidth="1"/>
    <col min="15" max="17" width="8.28515625" style="128" customWidth="1"/>
    <col min="18" max="18" width="11.28515625" bestFit="1" customWidth="1"/>
    <col min="21" max="21" width="14.28515625" bestFit="1" customWidth="1"/>
    <col min="22" max="22" width="7.140625" bestFit="1" customWidth="1"/>
    <col min="23" max="23" width="11" bestFit="1" customWidth="1"/>
    <col min="24" max="26" width="11" style="128" customWidth="1"/>
    <col min="27" max="27" width="11" bestFit="1" customWidth="1"/>
    <col min="31" max="31" width="12" bestFit="1" customWidth="1"/>
    <col min="32" max="32" width="17.85546875" bestFit="1" customWidth="1"/>
    <col min="33" max="33" width="31.28515625" bestFit="1" customWidth="1"/>
    <col min="34" max="35" width="31.28515625" style="128" customWidth="1"/>
    <col min="36" max="36" width="31.28515625" bestFit="1" customWidth="1"/>
    <col min="37" max="37" width="33.140625" bestFit="1" customWidth="1"/>
    <col min="38" max="39" width="36.28515625" style="127" bestFit="1" customWidth="1"/>
    <col min="40" max="40" width="14.28515625" bestFit="1" customWidth="1"/>
    <col min="41" max="41" width="22.28515625" bestFit="1" customWidth="1"/>
    <col min="42" max="42" width="13.140625" bestFit="1" customWidth="1"/>
    <col min="43" max="43" width="11.5703125" bestFit="1" customWidth="1"/>
    <col min="47" max="49" width="9.140625" style="128"/>
    <col min="53" max="53" width="13.140625" bestFit="1" customWidth="1"/>
    <col min="54" max="54" width="7.140625" bestFit="1" customWidth="1"/>
    <col min="57" max="59" width="9.140625" style="128"/>
    <col min="63" max="63" width="12" bestFit="1" customWidth="1"/>
    <col min="64" max="64" width="7.140625" bestFit="1" customWidth="1"/>
    <col min="66" max="70" width="9.140625" style="128"/>
    <col min="72" max="72" width="12" bestFit="1" customWidth="1"/>
    <col min="73" max="73" width="7.140625" bestFit="1" customWidth="1"/>
    <col min="76" max="76" width="12" bestFit="1" customWidth="1"/>
    <col min="77" max="77" width="17.85546875" bestFit="1" customWidth="1"/>
    <col min="81" max="81" width="12" bestFit="1" customWidth="1"/>
    <col min="82" max="82" width="17.85546875" bestFit="1" customWidth="1"/>
  </cols>
  <sheetData>
    <row r="1" spans="1:73" x14ac:dyDescent="0.25">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25">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25">
      <c r="AP3" s="123"/>
      <c r="AQ3" s="123"/>
      <c r="BA3" s="127"/>
      <c r="BB3" s="127"/>
    </row>
    <row r="4" spans="1:73" x14ac:dyDescent="0.25">
      <c r="A4" s="94" t="s">
        <v>216</v>
      </c>
      <c r="B4" t="s">
        <v>217</v>
      </c>
      <c r="K4" s="94" t="s">
        <v>216</v>
      </c>
      <c r="L4" t="s">
        <v>217</v>
      </c>
      <c r="U4" s="94" t="s">
        <v>218</v>
      </c>
      <c r="AL4"/>
      <c r="AM4"/>
      <c r="AP4" s="94" t="s">
        <v>216</v>
      </c>
      <c r="AQ4" t="s">
        <v>217</v>
      </c>
      <c r="BA4" s="94" t="s">
        <v>216</v>
      </c>
    </row>
    <row r="5" spans="1:73" x14ac:dyDescent="0.25">
      <c r="A5" s="96" t="s">
        <v>56</v>
      </c>
      <c r="B5" s="95">
        <v>1</v>
      </c>
      <c r="K5" s="96" t="s">
        <v>237</v>
      </c>
      <c r="L5" s="95">
        <v>1</v>
      </c>
      <c r="U5" s="96" t="s">
        <v>192</v>
      </c>
      <c r="V5" s="129"/>
      <c r="AL5"/>
      <c r="AM5"/>
      <c r="AP5" s="126" t="s">
        <v>242</v>
      </c>
      <c r="AQ5" s="95">
        <v>1</v>
      </c>
      <c r="BA5" s="96" t="s">
        <v>235</v>
      </c>
    </row>
    <row r="6" spans="1:73" x14ac:dyDescent="0.25">
      <c r="A6" s="96" t="s">
        <v>244</v>
      </c>
      <c r="B6" s="95">
        <v>1</v>
      </c>
      <c r="K6" s="96" t="s">
        <v>236</v>
      </c>
      <c r="L6" s="95">
        <v>1</v>
      </c>
      <c r="U6" s="96" t="s">
        <v>220</v>
      </c>
      <c r="V6" s="129"/>
      <c r="AL6"/>
      <c r="AM6"/>
      <c r="AP6" s="126" t="s">
        <v>240</v>
      </c>
      <c r="AQ6" s="95">
        <v>3</v>
      </c>
    </row>
    <row r="7" spans="1:73" x14ac:dyDescent="0.25">
      <c r="A7" s="96" t="s">
        <v>59</v>
      </c>
      <c r="B7" s="95">
        <v>1</v>
      </c>
      <c r="K7" s="96" t="s">
        <v>168</v>
      </c>
      <c r="L7" s="95">
        <v>2</v>
      </c>
      <c r="U7" s="96" t="s">
        <v>193</v>
      </c>
      <c r="V7" s="129"/>
      <c r="AL7"/>
      <c r="AM7"/>
    </row>
    <row r="8" spans="1:73" x14ac:dyDescent="0.25">
      <c r="A8" s="96" t="s">
        <v>58</v>
      </c>
      <c r="B8" s="95">
        <v>1</v>
      </c>
      <c r="AL8"/>
      <c r="AM8"/>
    </row>
    <row r="9" spans="1:73" x14ac:dyDescent="0.25">
      <c r="AL9"/>
      <c r="AM9"/>
    </row>
    <row r="10" spans="1:73" x14ac:dyDescent="0.25">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W27"/>
  <sheetViews>
    <sheetView showGridLines="0" showRowColHeaders="0" tabSelected="1" topLeftCell="L6" zoomScaleNormal="100" workbookViewId="0">
      <selection activeCell="L6" sqref="L6"/>
    </sheetView>
  </sheetViews>
  <sheetFormatPr defaultColWidth="0" defaultRowHeight="15" x14ac:dyDescent="0.25"/>
  <cols>
    <col min="1" max="7" width="0" style="134" hidden="1" customWidth="1"/>
    <col min="8" max="9" width="2.7109375" style="134" customWidth="1"/>
    <col min="10" max="10" width="4.5703125" style="206" customWidth="1"/>
    <col min="11" max="11" width="45.7109375" style="136" customWidth="1"/>
    <col min="12" max="12" width="10.7109375" style="138" customWidth="1"/>
    <col min="13" max="13" width="10.7109375" style="134" hidden="1" customWidth="1"/>
    <col min="14" max="14" width="15.7109375" style="136" customWidth="1"/>
    <col min="15" max="18" width="15.7109375" style="137" hidden="1" customWidth="1"/>
    <col min="19" max="20" width="15.7109375" style="137" customWidth="1"/>
    <col min="21" max="21" width="10.7109375" style="137" customWidth="1"/>
    <col min="22" max="22" width="15.7109375" style="134" hidden="1" customWidth="1"/>
    <col min="23" max="23" width="5.7109375" style="134" customWidth="1"/>
    <col min="24" max="24" width="10.7109375" style="135" customWidth="1"/>
    <col min="25" max="30" width="15.7109375" style="137" hidden="1" customWidth="1"/>
    <col min="31" max="31" width="15.7109375" style="139" hidden="1" customWidth="1"/>
    <col min="32" max="55" width="15.7109375" style="134" hidden="1" customWidth="1"/>
    <col min="56" max="56" width="2.7109375" style="134" customWidth="1"/>
    <col min="57" max="91" width="3.7109375" customWidth="1"/>
    <col min="92" max="16384" width="10.7109375" hidden="1"/>
  </cols>
  <sheetData>
    <row r="1" spans="1:101" hidden="1" x14ac:dyDescent="0.25">
      <c r="A1" s="134" t="s">
        <v>234</v>
      </c>
      <c r="B1" s="134" t="s">
        <v>226</v>
      </c>
      <c r="C1" s="134" t="s">
        <v>227</v>
      </c>
      <c r="D1" s="134" t="s">
        <v>228</v>
      </c>
      <c r="E1" s="134" t="s">
        <v>229</v>
      </c>
      <c r="F1" s="134" t="s">
        <v>230</v>
      </c>
      <c r="G1" s="134" t="s">
        <v>160</v>
      </c>
      <c r="H1" s="134" t="s">
        <v>161</v>
      </c>
      <c r="I1" s="134" t="s">
        <v>231</v>
      </c>
      <c r="J1" s="206"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CM1" t="s">
        <v>280</v>
      </c>
    </row>
    <row r="2" spans="1:101" hidden="1" x14ac:dyDescent="0.25">
      <c r="A2" s="134" t="s">
        <v>263</v>
      </c>
      <c r="B2" s="134" t="s">
        <v>263</v>
      </c>
      <c r="C2" s="134" t="s">
        <v>263</v>
      </c>
      <c r="D2" s="134" t="s">
        <v>263</v>
      </c>
      <c r="E2" s="134" t="s">
        <v>263</v>
      </c>
      <c r="F2" s="134" t="s">
        <v>263</v>
      </c>
      <c r="G2" s="134" t="s">
        <v>263</v>
      </c>
      <c r="H2" s="134">
        <v>1</v>
      </c>
      <c r="I2" s="134" t="s">
        <v>263</v>
      </c>
      <c r="J2" s="206"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101" hidden="1" x14ac:dyDescent="0.25"/>
    <row r="4" spans="1:101" hidden="1" x14ac:dyDescent="0.25"/>
    <row r="5" spans="1:101" hidden="1" x14ac:dyDescent="0.25"/>
    <row r="6" spans="1:101" ht="24" customHeight="1" x14ac:dyDescent="0.25">
      <c r="H6" s="140"/>
      <c r="I6" s="140"/>
      <c r="J6" s="207" t="s">
        <v>306</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44676</v>
      </c>
      <c r="BF6" s="146">
        <v>44677</v>
      </c>
      <c r="BG6" s="146">
        <v>44678</v>
      </c>
      <c r="BH6" s="146">
        <v>44679</v>
      </c>
      <c r="BI6" s="146">
        <v>44680</v>
      </c>
      <c r="BJ6" s="146">
        <v>44681</v>
      </c>
      <c r="BK6" s="146">
        <v>44682</v>
      </c>
      <c r="BL6" s="146">
        <v>44683</v>
      </c>
      <c r="BM6" s="146">
        <v>44684</v>
      </c>
      <c r="BN6" s="146">
        <v>44685</v>
      </c>
      <c r="BO6" s="146">
        <v>44686</v>
      </c>
      <c r="BP6" s="146">
        <v>44687</v>
      </c>
      <c r="BQ6" s="146">
        <v>44688</v>
      </c>
      <c r="BR6" s="146">
        <v>44689</v>
      </c>
      <c r="BS6" s="146">
        <v>44690</v>
      </c>
      <c r="BT6" s="146">
        <v>44691</v>
      </c>
      <c r="BU6" s="146">
        <v>44692</v>
      </c>
      <c r="BV6" s="146">
        <v>44693</v>
      </c>
      <c r="BW6" s="146">
        <v>44694</v>
      </c>
      <c r="BX6" s="146">
        <v>44695</v>
      </c>
      <c r="BY6" s="146">
        <v>44696</v>
      </c>
      <c r="BZ6" s="146">
        <v>44697</v>
      </c>
      <c r="CA6" s="146">
        <v>44698</v>
      </c>
      <c r="CB6" s="146">
        <v>44699</v>
      </c>
      <c r="CC6" s="146">
        <v>44700</v>
      </c>
      <c r="CD6" s="146">
        <v>44701</v>
      </c>
      <c r="CE6" s="146">
        <v>44702</v>
      </c>
      <c r="CF6" s="146">
        <v>44703</v>
      </c>
      <c r="CG6" s="146">
        <v>44704</v>
      </c>
      <c r="CH6" s="146">
        <v>44705</v>
      </c>
      <c r="CI6" s="146">
        <v>44706</v>
      </c>
      <c r="CJ6" s="146">
        <v>44707</v>
      </c>
      <c r="CK6" s="146">
        <v>44708</v>
      </c>
      <c r="CL6" s="146">
        <v>44709</v>
      </c>
      <c r="CM6" s="146">
        <v>44710</v>
      </c>
    </row>
    <row r="7" spans="1:101" x14ac:dyDescent="0.25">
      <c r="J7" s="208" t="s">
        <v>307</v>
      </c>
      <c r="BE7" s="147" t="s">
        <v>289</v>
      </c>
      <c r="BF7" s="147"/>
      <c r="BG7" s="147"/>
      <c r="BH7" s="147"/>
      <c r="BI7" s="147"/>
      <c r="BJ7" s="147"/>
      <c r="BK7" s="147"/>
      <c r="BL7" s="148" t="s">
        <v>290</v>
      </c>
      <c r="BM7" s="148"/>
      <c r="BN7" s="148"/>
      <c r="BO7" s="148"/>
      <c r="BP7" s="148"/>
      <c r="BQ7" s="148"/>
      <c r="BR7" s="148"/>
      <c r="BS7" s="147" t="s">
        <v>291</v>
      </c>
      <c r="BT7" s="147"/>
      <c r="BU7" s="147"/>
      <c r="BV7" s="147"/>
      <c r="BW7" s="147"/>
      <c r="BX7" s="147"/>
      <c r="BY7" s="147"/>
      <c r="BZ7" s="148" t="s">
        <v>292</v>
      </c>
      <c r="CA7" s="148"/>
      <c r="CB7" s="148"/>
      <c r="CC7" s="148"/>
      <c r="CD7" s="148"/>
      <c r="CE7" s="148"/>
      <c r="CF7" s="148"/>
      <c r="CG7" s="147" t="s">
        <v>293</v>
      </c>
      <c r="CH7" s="147"/>
      <c r="CI7" s="147"/>
      <c r="CJ7" s="147"/>
      <c r="CK7" s="147"/>
      <c r="CL7" s="147"/>
      <c r="CM7" s="147"/>
    </row>
    <row r="8" spans="1:101" x14ac:dyDescent="0.25">
      <c r="H8" s="158"/>
      <c r="I8" s="158"/>
      <c r="J8" s="209" t="s">
        <v>285</v>
      </c>
      <c r="K8" s="159"/>
      <c r="L8" s="160"/>
      <c r="M8" s="158"/>
      <c r="N8" s="159"/>
      <c r="O8" s="161"/>
      <c r="P8" s="161"/>
      <c r="Q8" s="161"/>
      <c r="R8" s="161"/>
      <c r="S8" s="161"/>
      <c r="T8" s="161"/>
      <c r="U8" s="161"/>
      <c r="V8" s="158"/>
      <c r="W8" s="158"/>
      <c r="X8" s="162"/>
      <c r="Y8" s="161"/>
      <c r="Z8" s="161"/>
      <c r="AA8" s="161"/>
      <c r="AB8" s="161"/>
      <c r="AC8" s="161"/>
      <c r="AD8" s="161"/>
      <c r="AE8" s="163"/>
      <c r="AF8" s="158"/>
      <c r="AG8" s="158"/>
      <c r="AH8" s="158"/>
      <c r="AI8" s="158"/>
      <c r="AJ8" s="158"/>
      <c r="AK8" s="158"/>
      <c r="AL8" s="158"/>
      <c r="AM8" s="158"/>
      <c r="AN8" s="158"/>
      <c r="AO8" s="158"/>
      <c r="AP8" s="158"/>
      <c r="AQ8" s="158"/>
      <c r="AR8" s="158"/>
      <c r="AS8" s="158"/>
      <c r="AT8" s="158"/>
      <c r="AU8" s="158"/>
      <c r="AV8" s="158"/>
      <c r="AW8" s="158"/>
      <c r="AX8" s="158"/>
      <c r="AY8" s="158"/>
      <c r="AZ8" s="158"/>
      <c r="BA8" s="158"/>
      <c r="BB8" s="158"/>
      <c r="BC8" s="158"/>
      <c r="BD8" s="149"/>
      <c r="BE8" s="150">
        <v>25</v>
      </c>
      <c r="BF8" s="150">
        <v>26</v>
      </c>
      <c r="BG8" s="150">
        <v>27</v>
      </c>
      <c r="BH8" s="150">
        <v>28</v>
      </c>
      <c r="BI8" s="150">
        <v>29</v>
      </c>
      <c r="BJ8" s="150">
        <v>30</v>
      </c>
      <c r="BK8" s="150">
        <v>1</v>
      </c>
      <c r="BL8" s="150">
        <v>2</v>
      </c>
      <c r="BM8" s="150">
        <v>3</v>
      </c>
      <c r="BN8" s="150">
        <v>4</v>
      </c>
      <c r="BO8" s="150">
        <v>5</v>
      </c>
      <c r="BP8" s="150">
        <v>6</v>
      </c>
      <c r="BQ8" s="150">
        <v>7</v>
      </c>
      <c r="BR8" s="150">
        <v>8</v>
      </c>
      <c r="BS8" s="150">
        <v>9</v>
      </c>
      <c r="BT8" s="150">
        <v>10</v>
      </c>
      <c r="BU8" s="150">
        <v>11</v>
      </c>
      <c r="BV8" s="150">
        <v>12</v>
      </c>
      <c r="BW8" s="150">
        <v>13</v>
      </c>
      <c r="BX8" s="150">
        <v>14</v>
      </c>
      <c r="BY8" s="150">
        <v>15</v>
      </c>
      <c r="BZ8" s="150">
        <v>16</v>
      </c>
      <c r="CA8" s="150">
        <v>17</v>
      </c>
      <c r="CB8" s="150">
        <v>18</v>
      </c>
      <c r="CC8" s="150">
        <v>19</v>
      </c>
      <c r="CD8" s="150">
        <v>20</v>
      </c>
      <c r="CE8" s="150">
        <v>21</v>
      </c>
      <c r="CF8" s="150">
        <v>22</v>
      </c>
      <c r="CG8" s="150">
        <v>23</v>
      </c>
      <c r="CH8" s="150">
        <v>24</v>
      </c>
      <c r="CI8" s="150">
        <v>25</v>
      </c>
      <c r="CJ8" s="150">
        <v>26</v>
      </c>
      <c r="CK8" s="150">
        <v>27</v>
      </c>
      <c r="CL8" s="150">
        <v>28</v>
      </c>
      <c r="CM8" s="150">
        <v>29</v>
      </c>
      <c r="CN8" s="151"/>
    </row>
    <row r="9" spans="1:101" ht="24" customHeight="1" x14ac:dyDescent="0.25">
      <c r="A9" s="134" t="s">
        <v>234</v>
      </c>
      <c r="B9" s="134" t="s">
        <v>226</v>
      </c>
      <c r="C9" s="134" t="s">
        <v>227</v>
      </c>
      <c r="D9" s="134" t="s">
        <v>228</v>
      </c>
      <c r="E9" s="134" t="s">
        <v>229</v>
      </c>
      <c r="F9" s="134" t="s">
        <v>230</v>
      </c>
      <c r="G9" s="134" t="s">
        <v>160</v>
      </c>
      <c r="H9" s="225"/>
      <c r="I9" s="225"/>
      <c r="J9" s="226" t="s">
        <v>27</v>
      </c>
      <c r="K9" s="225" t="s">
        <v>26</v>
      </c>
      <c r="L9" s="225" t="s">
        <v>137</v>
      </c>
      <c r="M9" s="225" t="s">
        <v>138</v>
      </c>
      <c r="N9" s="225" t="s">
        <v>225</v>
      </c>
      <c r="O9" s="225" t="s">
        <v>232</v>
      </c>
      <c r="P9" s="225" t="s">
        <v>264</v>
      </c>
      <c r="Q9" s="225" t="s">
        <v>265</v>
      </c>
      <c r="R9" s="225" t="s">
        <v>266</v>
      </c>
      <c r="S9" s="225" t="s">
        <v>267</v>
      </c>
      <c r="T9" s="225" t="s">
        <v>268</v>
      </c>
      <c r="U9" s="225" t="s">
        <v>269</v>
      </c>
      <c r="V9" s="225" t="s">
        <v>223</v>
      </c>
      <c r="W9" s="225" t="s">
        <v>233</v>
      </c>
      <c r="X9" s="227" t="s">
        <v>270</v>
      </c>
      <c r="Y9" s="225" t="s">
        <v>271</v>
      </c>
      <c r="Z9" s="225" t="s">
        <v>272</v>
      </c>
      <c r="AA9" s="225" t="s">
        <v>273</v>
      </c>
      <c r="AB9" s="225" t="s">
        <v>192</v>
      </c>
      <c r="AC9" s="225" t="s">
        <v>274</v>
      </c>
      <c r="AD9" s="225" t="s">
        <v>193</v>
      </c>
      <c r="AE9" s="228" t="s">
        <v>12</v>
      </c>
      <c r="AF9" s="225" t="s">
        <v>275</v>
      </c>
      <c r="AG9" s="225" t="s">
        <v>276</v>
      </c>
      <c r="AH9" s="225" t="s">
        <v>277</v>
      </c>
      <c r="AI9" s="225" t="s">
        <v>278</v>
      </c>
      <c r="AJ9" s="225" t="s">
        <v>172</v>
      </c>
      <c r="AK9" s="225" t="s">
        <v>173</v>
      </c>
      <c r="AL9" s="225" t="s">
        <v>174</v>
      </c>
      <c r="AM9" s="225" t="s">
        <v>175</v>
      </c>
      <c r="AN9" s="225" t="s">
        <v>176</v>
      </c>
      <c r="AO9" s="225" t="s">
        <v>177</v>
      </c>
      <c r="AP9" s="225" t="s">
        <v>178</v>
      </c>
      <c r="AQ9" s="225" t="s">
        <v>179</v>
      </c>
      <c r="AR9" s="225" t="s">
        <v>180</v>
      </c>
      <c r="AS9" s="225" t="s">
        <v>181</v>
      </c>
      <c r="AT9" s="225" t="s">
        <v>182</v>
      </c>
      <c r="AU9" s="225" t="s">
        <v>183</v>
      </c>
      <c r="AV9" s="225" t="s">
        <v>184</v>
      </c>
      <c r="AW9" s="225" t="s">
        <v>185</v>
      </c>
      <c r="AX9" s="225" t="s">
        <v>186</v>
      </c>
      <c r="AY9" s="225" t="s">
        <v>187</v>
      </c>
      <c r="AZ9" s="225" t="s">
        <v>188</v>
      </c>
      <c r="BA9" s="225" t="s">
        <v>189</v>
      </c>
      <c r="BB9" s="225" t="s">
        <v>190</v>
      </c>
      <c r="BC9" s="225" t="s">
        <v>191</v>
      </c>
      <c r="BD9" s="229"/>
      <c r="BE9" s="230" t="s">
        <v>282</v>
      </c>
      <c r="BF9" s="230" t="s">
        <v>167</v>
      </c>
      <c r="BG9" s="230" t="s">
        <v>283</v>
      </c>
      <c r="BH9" s="230" t="s">
        <v>167</v>
      </c>
      <c r="BI9" s="230" t="s">
        <v>284</v>
      </c>
      <c r="BJ9" s="231" t="s">
        <v>194</v>
      </c>
      <c r="BK9" s="231" t="s">
        <v>194</v>
      </c>
      <c r="BL9" s="230" t="s">
        <v>282</v>
      </c>
      <c r="BM9" s="230" t="s">
        <v>167</v>
      </c>
      <c r="BN9" s="230" t="s">
        <v>283</v>
      </c>
      <c r="BO9" s="230" t="s">
        <v>167</v>
      </c>
      <c r="BP9" s="230" t="s">
        <v>284</v>
      </c>
      <c r="BQ9" s="231" t="s">
        <v>194</v>
      </c>
      <c r="BR9" s="231" t="s">
        <v>194</v>
      </c>
      <c r="BS9" s="230" t="s">
        <v>282</v>
      </c>
      <c r="BT9" s="230" t="s">
        <v>167</v>
      </c>
      <c r="BU9" s="230" t="s">
        <v>283</v>
      </c>
      <c r="BV9" s="230" t="s">
        <v>167</v>
      </c>
      <c r="BW9" s="230" t="s">
        <v>284</v>
      </c>
      <c r="BX9" s="231" t="s">
        <v>194</v>
      </c>
      <c r="BY9" s="231" t="s">
        <v>194</v>
      </c>
      <c r="BZ9" s="230" t="s">
        <v>282</v>
      </c>
      <c r="CA9" s="230" t="s">
        <v>167</v>
      </c>
      <c r="CB9" s="230" t="s">
        <v>283</v>
      </c>
      <c r="CC9" s="230" t="s">
        <v>167</v>
      </c>
      <c r="CD9" s="230" t="s">
        <v>284</v>
      </c>
      <c r="CE9" s="231" t="s">
        <v>194</v>
      </c>
      <c r="CF9" s="231" t="s">
        <v>194</v>
      </c>
      <c r="CG9" s="230" t="s">
        <v>282</v>
      </c>
      <c r="CH9" s="230" t="s">
        <v>167</v>
      </c>
      <c r="CI9" s="230" t="s">
        <v>283</v>
      </c>
      <c r="CJ9" s="230" t="s">
        <v>167</v>
      </c>
      <c r="CK9" s="230" t="s">
        <v>284</v>
      </c>
      <c r="CL9" s="231" t="s">
        <v>194</v>
      </c>
      <c r="CM9" s="231" t="s">
        <v>194</v>
      </c>
      <c r="CN9" s="76"/>
    </row>
    <row r="10" spans="1:101" s="157" customFormat="1" ht="18" customHeight="1" x14ac:dyDescent="0.25">
      <c r="A10" s="134" t="s">
        <v>282</v>
      </c>
      <c r="B10" s="134">
        <v>10</v>
      </c>
      <c r="C10" s="134"/>
      <c r="D10" s="134"/>
      <c r="E10" s="134"/>
      <c r="F10" s="134"/>
      <c r="G10" s="134">
        <v>0</v>
      </c>
      <c r="H10" s="165"/>
      <c r="I10" s="250" t="s">
        <v>169</v>
      </c>
      <c r="J10" s="251" t="s">
        <v>300</v>
      </c>
      <c r="K10" s="252" t="s">
        <v>267</v>
      </c>
      <c r="L10" s="167" t="s">
        <v>168</v>
      </c>
      <c r="M10" s="253" t="s">
        <v>58</v>
      </c>
      <c r="N10" s="252"/>
      <c r="O10" s="254"/>
      <c r="P10" s="255"/>
      <c r="Q10" s="255"/>
      <c r="R10" s="256"/>
      <c r="S10" s="255">
        <v>44678</v>
      </c>
      <c r="T10" s="255">
        <v>44678</v>
      </c>
      <c r="U10" s="256">
        <v>0</v>
      </c>
      <c r="V10" s="252"/>
      <c r="W10" s="257">
        <v>0</v>
      </c>
      <c r="X10" s="258">
        <v>0</v>
      </c>
      <c r="Y10" s="255"/>
      <c r="Z10" s="255"/>
      <c r="AA10" s="256"/>
      <c r="AB10" s="254"/>
      <c r="AC10" s="254"/>
      <c r="AD10" s="254"/>
      <c r="AE10" s="259"/>
      <c r="AF10" s="252"/>
      <c r="AG10" s="252"/>
      <c r="AH10" s="252"/>
      <c r="AI10" s="252"/>
      <c r="AJ10" s="252"/>
      <c r="AK10" s="252"/>
      <c r="AL10" s="252"/>
      <c r="AM10" s="252"/>
      <c r="AN10" s="252"/>
      <c r="AO10" s="252"/>
      <c r="AP10" s="252"/>
      <c r="AQ10" s="252"/>
      <c r="AR10" s="252"/>
      <c r="AS10" s="252"/>
      <c r="AT10" s="252"/>
      <c r="AU10" s="252"/>
      <c r="AV10" s="252"/>
      <c r="AW10" s="252"/>
      <c r="AX10" s="252"/>
      <c r="AY10" s="252"/>
      <c r="AZ10" s="252"/>
      <c r="BA10" s="252"/>
      <c r="BB10" s="252"/>
      <c r="BC10" s="252"/>
      <c r="BD10" s="260"/>
      <c r="BE10" s="261"/>
      <c r="BF10" s="261"/>
      <c r="BG10" s="261"/>
      <c r="BH10" s="261"/>
      <c r="BI10" s="261"/>
      <c r="BJ10" s="261"/>
      <c r="BK10" s="261"/>
      <c r="BL10" s="261"/>
      <c r="BM10" s="261"/>
      <c r="BN10" s="261"/>
      <c r="BO10" s="261"/>
      <c r="BP10" s="261"/>
      <c r="BQ10" s="261"/>
      <c r="BR10" s="261"/>
      <c r="BS10" s="261"/>
      <c r="BT10" s="261"/>
      <c r="BU10" s="261"/>
      <c r="BV10" s="261"/>
      <c r="BW10" s="261"/>
      <c r="BX10" s="261"/>
      <c r="BY10" s="261"/>
      <c r="BZ10" s="261"/>
      <c r="CA10" s="261"/>
      <c r="CB10" s="261"/>
      <c r="CC10" s="261"/>
      <c r="CD10" s="261"/>
      <c r="CE10" s="261"/>
      <c r="CF10" s="261"/>
      <c r="CG10" s="261"/>
      <c r="CH10" s="261"/>
      <c r="CI10" s="261"/>
      <c r="CJ10" s="261"/>
      <c r="CK10" s="261"/>
      <c r="CL10" s="261"/>
      <c r="CM10" s="261"/>
      <c r="CN10" s="164"/>
    </row>
    <row r="11" spans="1:101" s="157" customFormat="1" ht="18" customHeight="1" x14ac:dyDescent="0.25">
      <c r="A11" s="134" t="s">
        <v>167</v>
      </c>
      <c r="B11" s="134">
        <v>1</v>
      </c>
      <c r="C11" s="134"/>
      <c r="D11" s="134"/>
      <c r="E11" s="134"/>
      <c r="F11" s="134"/>
      <c r="G11" s="134">
        <v>0</v>
      </c>
      <c r="H11" s="165"/>
      <c r="I11" s="166" t="s">
        <v>169</v>
      </c>
      <c r="J11" s="210" t="s">
        <v>301</v>
      </c>
      <c r="K11" s="153" t="s">
        <v>294</v>
      </c>
      <c r="L11" s="167" t="s">
        <v>168</v>
      </c>
      <c r="M11" s="168" t="s">
        <v>58</v>
      </c>
      <c r="N11" s="153"/>
      <c r="O11" s="169"/>
      <c r="P11" s="156"/>
      <c r="Q11" s="156"/>
      <c r="R11" s="154"/>
      <c r="S11" s="156">
        <v>44678</v>
      </c>
      <c r="T11" s="156">
        <v>44682</v>
      </c>
      <c r="U11" s="154">
        <v>3</v>
      </c>
      <c r="V11" s="153"/>
      <c r="W11" s="152">
        <v>0</v>
      </c>
      <c r="X11" s="155">
        <v>0</v>
      </c>
      <c r="Y11" s="156"/>
      <c r="Z11" s="156"/>
      <c r="AA11" s="154"/>
      <c r="AB11" s="169"/>
      <c r="AC11" s="169"/>
      <c r="AD11" s="169"/>
      <c r="AE11" s="170"/>
      <c r="AF11" s="153"/>
      <c r="AG11" s="153"/>
      <c r="AH11" s="153"/>
      <c r="AI11" s="153"/>
      <c r="AJ11" s="153"/>
      <c r="AK11" s="153"/>
      <c r="AL11" s="153"/>
      <c r="AM11" s="153"/>
      <c r="AN11" s="153"/>
      <c r="AO11" s="153"/>
      <c r="AP11" s="153"/>
      <c r="AQ11" s="153"/>
      <c r="AR11" s="153"/>
      <c r="AS11" s="153"/>
      <c r="AT11" s="153"/>
      <c r="AU11" s="153"/>
      <c r="AV11" s="153"/>
      <c r="AW11" s="153"/>
      <c r="AX11" s="153"/>
      <c r="AY11" s="153"/>
      <c r="AZ11" s="153"/>
      <c r="BA11" s="153"/>
      <c r="BB11" s="153"/>
      <c r="BC11" s="153"/>
      <c r="BD11" s="171"/>
      <c r="BE11" s="191"/>
      <c r="BF11" s="191"/>
      <c r="BG11" s="191"/>
      <c r="BH11" s="191"/>
      <c r="BI11" s="191"/>
      <c r="BJ11" s="191"/>
      <c r="BK11" s="191"/>
      <c r="BL11" s="191"/>
      <c r="BM11" s="191"/>
      <c r="BN11" s="191"/>
      <c r="BO11" s="191"/>
      <c r="BP11" s="191"/>
      <c r="BQ11" s="191"/>
      <c r="BR11" s="191"/>
      <c r="BS11" s="191"/>
      <c r="BT11" s="191"/>
      <c r="BU11" s="191"/>
      <c r="BV11" s="191"/>
      <c r="BW11" s="191"/>
      <c r="BX11" s="191"/>
      <c r="BY11" s="191"/>
      <c r="BZ11" s="191"/>
      <c r="CA11" s="191"/>
      <c r="CB11" s="191"/>
      <c r="CC11" s="191"/>
      <c r="CD11" s="191"/>
      <c r="CE11" s="191"/>
      <c r="CF11" s="191"/>
      <c r="CG11" s="191"/>
      <c r="CH11" s="191"/>
      <c r="CI11" s="191"/>
      <c r="CJ11" s="191"/>
      <c r="CK11" s="191"/>
      <c r="CL11" s="191"/>
      <c r="CM11" s="191"/>
      <c r="CN11" s="76"/>
      <c r="CO11"/>
      <c r="CP11"/>
      <c r="CQ11"/>
      <c r="CR11"/>
      <c r="CS11"/>
      <c r="CT11"/>
      <c r="CU11"/>
      <c r="CV11"/>
      <c r="CW11"/>
    </row>
    <row r="12" spans="1:101" s="157" customFormat="1" ht="18" customHeight="1" x14ac:dyDescent="0.25">
      <c r="A12" s="134" t="s">
        <v>167</v>
      </c>
      <c r="B12" s="134">
        <v>2</v>
      </c>
      <c r="C12" s="134"/>
      <c r="D12" s="134"/>
      <c r="E12" s="134"/>
      <c r="F12" s="134"/>
      <c r="G12" s="134">
        <v>0</v>
      </c>
      <c r="H12" s="165"/>
      <c r="I12" s="166" t="s">
        <v>169</v>
      </c>
      <c r="J12" s="210" t="s">
        <v>302</v>
      </c>
      <c r="K12" s="170" t="s">
        <v>295</v>
      </c>
      <c r="L12" s="167" t="s">
        <v>168</v>
      </c>
      <c r="M12" s="168" t="s">
        <v>58</v>
      </c>
      <c r="N12" s="153"/>
      <c r="O12" s="169"/>
      <c r="P12" s="156"/>
      <c r="Q12" s="156"/>
      <c r="R12" s="154"/>
      <c r="S12" s="156">
        <v>44678</v>
      </c>
      <c r="T12" s="156">
        <v>44684</v>
      </c>
      <c r="U12" s="189">
        <v>5</v>
      </c>
      <c r="V12" s="153"/>
      <c r="W12" s="152">
        <v>0</v>
      </c>
      <c r="X12" s="155">
        <v>0</v>
      </c>
      <c r="Y12" s="156"/>
      <c r="Z12" s="156"/>
      <c r="AA12" s="154"/>
      <c r="AB12" s="169"/>
      <c r="AC12" s="169"/>
      <c r="AD12" s="169"/>
      <c r="AE12" s="170"/>
      <c r="AF12" s="153"/>
      <c r="AG12" s="153"/>
      <c r="AH12" s="153"/>
      <c r="AI12" s="153"/>
      <c r="AJ12" s="153"/>
      <c r="AK12" s="153"/>
      <c r="AL12" s="153"/>
      <c r="AM12" s="153"/>
      <c r="AN12" s="153"/>
      <c r="AO12" s="153"/>
      <c r="AP12" s="153"/>
      <c r="AQ12" s="153"/>
      <c r="AR12" s="153"/>
      <c r="AS12" s="153"/>
      <c r="AT12" s="153"/>
      <c r="AU12" s="153"/>
      <c r="AV12" s="153"/>
      <c r="AW12" s="153"/>
      <c r="AX12" s="153"/>
      <c r="AY12" s="153"/>
      <c r="AZ12" s="153"/>
      <c r="BA12" s="153"/>
      <c r="BB12" s="153"/>
      <c r="BC12" s="153"/>
      <c r="BD12" s="171"/>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164"/>
    </row>
    <row r="13" spans="1:101" s="157" customFormat="1" ht="18" customHeight="1" x14ac:dyDescent="0.25">
      <c r="A13" s="134" t="s">
        <v>282</v>
      </c>
      <c r="B13" s="134">
        <v>11</v>
      </c>
      <c r="C13" s="134"/>
      <c r="D13" s="134"/>
      <c r="E13" s="134"/>
      <c r="F13" s="134"/>
      <c r="G13" s="134">
        <v>0</v>
      </c>
      <c r="H13" s="176"/>
      <c r="I13" s="266" t="s">
        <v>169</v>
      </c>
      <c r="J13" s="243" t="s">
        <v>303</v>
      </c>
      <c r="K13" s="246" t="s">
        <v>317</v>
      </c>
      <c r="L13" s="179" t="s">
        <v>168</v>
      </c>
      <c r="M13" s="244" t="s">
        <v>58</v>
      </c>
      <c r="N13" s="242"/>
      <c r="O13" s="249"/>
      <c r="P13" s="248"/>
      <c r="Q13" s="248"/>
      <c r="R13" s="245"/>
      <c r="S13" s="248">
        <v>44685</v>
      </c>
      <c r="T13" s="248">
        <v>44685</v>
      </c>
      <c r="U13" s="262">
        <v>0</v>
      </c>
      <c r="V13" s="242"/>
      <c r="W13" s="232">
        <v>0</v>
      </c>
      <c r="X13" s="233">
        <v>0</v>
      </c>
      <c r="Y13" s="248"/>
      <c r="Z13" s="248"/>
      <c r="AA13" s="245"/>
      <c r="AB13" s="249"/>
      <c r="AC13" s="249"/>
      <c r="AD13" s="249"/>
      <c r="AE13" s="246"/>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7"/>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64"/>
    </row>
    <row r="14" spans="1:101" s="157" customFormat="1" ht="18" customHeight="1" x14ac:dyDescent="0.25">
      <c r="A14" s="158" t="s">
        <v>167</v>
      </c>
      <c r="B14" s="158">
        <v>3</v>
      </c>
      <c r="C14" s="158"/>
      <c r="D14" s="158"/>
      <c r="E14" s="158"/>
      <c r="F14" s="158"/>
      <c r="G14" s="158">
        <v>0</v>
      </c>
      <c r="H14" s="165"/>
      <c r="I14" s="166" t="s">
        <v>169</v>
      </c>
      <c r="J14" s="210" t="s">
        <v>304</v>
      </c>
      <c r="K14" s="170" t="s">
        <v>296</v>
      </c>
      <c r="L14" s="167" t="s">
        <v>168</v>
      </c>
      <c r="M14" s="168" t="s">
        <v>58</v>
      </c>
      <c r="N14" s="153"/>
      <c r="O14" s="169"/>
      <c r="P14" s="156"/>
      <c r="Q14" s="156"/>
      <c r="R14" s="154"/>
      <c r="S14" s="156">
        <v>44685</v>
      </c>
      <c r="T14" s="156">
        <v>44690</v>
      </c>
      <c r="U14" s="189">
        <v>4</v>
      </c>
      <c r="V14" s="153"/>
      <c r="W14" s="152">
        <v>0</v>
      </c>
      <c r="X14" s="155">
        <v>0</v>
      </c>
      <c r="Y14" s="156"/>
      <c r="Z14" s="156"/>
      <c r="AA14" s="154"/>
      <c r="AB14" s="169"/>
      <c r="AC14" s="169"/>
      <c r="AD14" s="169"/>
      <c r="AE14" s="170"/>
      <c r="AF14" s="153"/>
      <c r="AG14" s="153"/>
      <c r="AH14" s="153"/>
      <c r="AI14" s="153"/>
      <c r="AJ14" s="153"/>
      <c r="AK14" s="153"/>
      <c r="AL14" s="153"/>
      <c r="AM14" s="153"/>
      <c r="AN14" s="153"/>
      <c r="AO14" s="153"/>
      <c r="AP14" s="153"/>
      <c r="AQ14" s="153"/>
      <c r="AR14" s="153"/>
      <c r="AS14" s="153"/>
      <c r="AT14" s="153"/>
      <c r="AU14" s="153"/>
      <c r="AV14" s="153"/>
      <c r="AW14" s="153"/>
      <c r="AX14" s="153"/>
      <c r="AY14" s="153"/>
      <c r="AZ14" s="153"/>
      <c r="BA14" s="153"/>
      <c r="BB14" s="153"/>
      <c r="BC14" s="153"/>
      <c r="BD14" s="171"/>
      <c r="BE14" s="205"/>
      <c r="BF14" s="205"/>
      <c r="BG14" s="205"/>
      <c r="BH14" s="205"/>
      <c r="BI14" s="205"/>
      <c r="BJ14" s="205"/>
      <c r="BK14" s="205"/>
      <c r="BL14" s="205"/>
      <c r="BM14" s="205"/>
      <c r="BN14" s="205"/>
      <c r="BO14" s="205"/>
      <c r="BP14" s="205"/>
      <c r="BQ14" s="205"/>
      <c r="BR14" s="205"/>
      <c r="BS14" s="205"/>
      <c r="BT14" s="205"/>
      <c r="BU14" s="205"/>
      <c r="BV14" s="205"/>
      <c r="BW14" s="205"/>
      <c r="BX14" s="205"/>
      <c r="BY14" s="205"/>
      <c r="BZ14" s="205"/>
      <c r="CA14" s="205"/>
      <c r="CB14" s="205"/>
      <c r="CC14" s="205"/>
      <c r="CD14" s="205"/>
      <c r="CE14" s="205"/>
      <c r="CF14" s="205"/>
      <c r="CG14" s="205"/>
      <c r="CH14" s="205"/>
      <c r="CI14" s="205"/>
      <c r="CJ14" s="205"/>
      <c r="CK14" s="205"/>
      <c r="CL14" s="205"/>
      <c r="CM14" s="205"/>
      <c r="CN14" s="164"/>
    </row>
    <row r="15" spans="1:101" s="157" customFormat="1" ht="18" customHeight="1" x14ac:dyDescent="0.25">
      <c r="A15" s="158" t="s">
        <v>167</v>
      </c>
      <c r="B15" s="158">
        <v>4</v>
      </c>
      <c r="C15" s="158"/>
      <c r="D15" s="158"/>
      <c r="E15" s="158"/>
      <c r="F15" s="158"/>
      <c r="G15" s="158">
        <v>0</v>
      </c>
      <c r="H15" s="176"/>
      <c r="I15" s="177" t="s">
        <v>169</v>
      </c>
      <c r="J15" s="212" t="s">
        <v>305</v>
      </c>
      <c r="K15" s="186" t="s">
        <v>297</v>
      </c>
      <c r="L15" s="179" t="s">
        <v>168</v>
      </c>
      <c r="M15" s="180" t="s">
        <v>58</v>
      </c>
      <c r="N15" s="178"/>
      <c r="O15" s="181"/>
      <c r="P15" s="182"/>
      <c r="Q15" s="182"/>
      <c r="R15" s="183"/>
      <c r="S15" s="182">
        <v>44678</v>
      </c>
      <c r="T15" s="182">
        <v>44681</v>
      </c>
      <c r="U15" s="188">
        <v>3</v>
      </c>
      <c r="V15" s="178"/>
      <c r="W15" s="184">
        <v>0</v>
      </c>
      <c r="X15" s="185">
        <v>0</v>
      </c>
      <c r="Y15" s="182"/>
      <c r="Z15" s="182"/>
      <c r="AA15" s="183"/>
      <c r="AB15" s="181"/>
      <c r="AC15" s="181"/>
      <c r="AD15" s="181"/>
      <c r="AE15" s="186"/>
      <c r="AF15" s="178"/>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87"/>
      <c r="BE15" s="190"/>
      <c r="BF15" s="190"/>
      <c r="BG15" s="190"/>
      <c r="BH15" s="190"/>
      <c r="BI15" s="190"/>
      <c r="BJ15" s="190"/>
      <c r="BK15" s="190"/>
      <c r="BL15" s="190"/>
      <c r="BM15" s="190"/>
      <c r="BN15" s="190"/>
      <c r="BO15" s="190"/>
      <c r="BP15" s="190"/>
      <c r="BQ15" s="190"/>
      <c r="BR15" s="190"/>
      <c r="BS15" s="190"/>
      <c r="BT15" s="190"/>
      <c r="BU15" s="190"/>
      <c r="BV15" s="190"/>
      <c r="BW15" s="190"/>
      <c r="BX15" s="190"/>
      <c r="BY15" s="190"/>
      <c r="BZ15" s="190"/>
      <c r="CA15" s="190"/>
      <c r="CB15" s="190"/>
      <c r="CC15" s="190"/>
      <c r="CD15" s="190"/>
      <c r="CE15" s="190"/>
      <c r="CF15" s="190"/>
      <c r="CG15" s="190"/>
      <c r="CH15" s="190"/>
      <c r="CI15" s="190"/>
      <c r="CJ15" s="190"/>
      <c r="CK15" s="190"/>
      <c r="CL15" s="190"/>
      <c r="CM15" s="190"/>
      <c r="CN15" s="164"/>
    </row>
    <row r="16" spans="1:101" s="157" customFormat="1" ht="18" customHeight="1" x14ac:dyDescent="0.25">
      <c r="A16" s="158" t="s">
        <v>282</v>
      </c>
      <c r="B16" s="158">
        <v>12</v>
      </c>
      <c r="C16" s="158"/>
      <c r="D16" s="158"/>
      <c r="E16" s="158"/>
      <c r="F16" s="158"/>
      <c r="G16" s="158">
        <v>0</v>
      </c>
      <c r="H16" s="176"/>
      <c r="I16" s="266" t="s">
        <v>169</v>
      </c>
      <c r="J16" s="243" t="s">
        <v>310</v>
      </c>
      <c r="K16" s="246" t="s">
        <v>318</v>
      </c>
      <c r="L16" s="179" t="s">
        <v>168</v>
      </c>
      <c r="M16" s="244" t="s">
        <v>58</v>
      </c>
      <c r="N16" s="242"/>
      <c r="O16" s="249"/>
      <c r="P16" s="248"/>
      <c r="Q16" s="248"/>
      <c r="R16" s="245"/>
      <c r="S16" s="248">
        <v>44682</v>
      </c>
      <c r="T16" s="248">
        <v>44682</v>
      </c>
      <c r="U16" s="262">
        <v>0</v>
      </c>
      <c r="V16" s="242"/>
      <c r="W16" s="232">
        <v>0</v>
      </c>
      <c r="X16" s="233">
        <v>0</v>
      </c>
      <c r="Y16" s="248"/>
      <c r="Z16" s="248"/>
      <c r="AA16" s="245"/>
      <c r="AB16" s="249"/>
      <c r="AC16" s="249"/>
      <c r="AD16" s="249"/>
      <c r="AE16" s="246"/>
      <c r="AF16" s="242"/>
      <c r="AG16" s="242"/>
      <c r="AH16" s="242"/>
      <c r="AI16" s="242"/>
      <c r="AJ16" s="242"/>
      <c r="AK16" s="242"/>
      <c r="AL16" s="242"/>
      <c r="AM16" s="242"/>
      <c r="AN16" s="242"/>
      <c r="AO16" s="242"/>
      <c r="AP16" s="242"/>
      <c r="AQ16" s="242"/>
      <c r="AR16" s="242"/>
      <c r="AS16" s="242"/>
      <c r="AT16" s="242"/>
      <c r="AU16" s="242"/>
      <c r="AV16" s="242"/>
      <c r="AW16" s="242"/>
      <c r="AX16" s="242"/>
      <c r="AY16" s="242"/>
      <c r="AZ16" s="242"/>
      <c r="BA16" s="242"/>
      <c r="BB16" s="242"/>
      <c r="BC16" s="242"/>
      <c r="BD16" s="247"/>
      <c r="BE16" s="190"/>
      <c r="BF16" s="190"/>
      <c r="BG16" s="190"/>
      <c r="BH16" s="190"/>
      <c r="BI16" s="190"/>
      <c r="BJ16" s="190"/>
      <c r="BK16" s="190"/>
      <c r="BL16" s="190"/>
      <c r="BM16" s="190"/>
      <c r="BN16" s="190"/>
      <c r="BO16" s="190"/>
      <c r="BP16" s="190"/>
      <c r="BQ16" s="190"/>
      <c r="BR16" s="190"/>
      <c r="BS16" s="190"/>
      <c r="BT16" s="190"/>
      <c r="BU16" s="190"/>
      <c r="BV16" s="190"/>
      <c r="BW16" s="190"/>
      <c r="BX16" s="190"/>
      <c r="BY16" s="190"/>
      <c r="BZ16" s="190"/>
      <c r="CA16" s="190"/>
      <c r="CB16" s="190"/>
      <c r="CC16" s="190"/>
      <c r="CD16" s="190"/>
      <c r="CE16" s="190"/>
      <c r="CF16" s="190"/>
      <c r="CG16" s="190"/>
      <c r="CH16" s="190"/>
      <c r="CI16" s="190"/>
      <c r="CJ16" s="190"/>
      <c r="CK16" s="190"/>
      <c r="CL16" s="190"/>
      <c r="CM16" s="190"/>
      <c r="CN16" s="164"/>
    </row>
    <row r="17" spans="1:92" s="157" customFormat="1" ht="18" customHeight="1" x14ac:dyDescent="0.25">
      <c r="A17" s="158" t="s">
        <v>167</v>
      </c>
      <c r="B17" s="158">
        <v>5</v>
      </c>
      <c r="C17" s="158"/>
      <c r="D17" s="158"/>
      <c r="E17" s="158"/>
      <c r="F17" s="158"/>
      <c r="G17" s="158">
        <v>0</v>
      </c>
      <c r="H17" s="176"/>
      <c r="I17" s="177" t="s">
        <v>169</v>
      </c>
      <c r="J17" s="212" t="s">
        <v>311</v>
      </c>
      <c r="K17" s="186" t="s">
        <v>298</v>
      </c>
      <c r="L17" s="179" t="s">
        <v>168</v>
      </c>
      <c r="M17" s="180" t="s">
        <v>58</v>
      </c>
      <c r="N17" s="178"/>
      <c r="O17" s="181"/>
      <c r="P17" s="182"/>
      <c r="Q17" s="182"/>
      <c r="R17" s="183"/>
      <c r="S17" s="182">
        <v>44682</v>
      </c>
      <c r="T17" s="182">
        <v>44685</v>
      </c>
      <c r="U17" s="188">
        <v>3</v>
      </c>
      <c r="V17" s="178"/>
      <c r="W17" s="184">
        <v>0</v>
      </c>
      <c r="X17" s="185">
        <v>0</v>
      </c>
      <c r="Y17" s="182"/>
      <c r="Z17" s="182"/>
      <c r="AA17" s="183"/>
      <c r="AB17" s="181"/>
      <c r="AC17" s="181"/>
      <c r="AD17" s="181"/>
      <c r="AE17" s="186"/>
      <c r="AF17" s="178"/>
      <c r="AG17" s="178"/>
      <c r="AH17" s="178"/>
      <c r="AI17" s="178"/>
      <c r="AJ17" s="178"/>
      <c r="AK17" s="178"/>
      <c r="AL17" s="178"/>
      <c r="AM17" s="178"/>
      <c r="AN17" s="178"/>
      <c r="AO17" s="178"/>
      <c r="AP17" s="178"/>
      <c r="AQ17" s="178"/>
      <c r="AR17" s="178"/>
      <c r="AS17" s="178"/>
      <c r="AT17" s="178"/>
      <c r="AU17" s="178"/>
      <c r="AV17" s="178"/>
      <c r="AW17" s="178"/>
      <c r="AX17" s="178"/>
      <c r="AY17" s="178"/>
      <c r="AZ17" s="178"/>
      <c r="BA17" s="178"/>
      <c r="BB17" s="178"/>
      <c r="BC17" s="178"/>
      <c r="BD17" s="187"/>
      <c r="BE17" s="190"/>
      <c r="BF17" s="190"/>
      <c r="BG17" s="190"/>
      <c r="BH17" s="190"/>
      <c r="BI17" s="190"/>
      <c r="BJ17" s="190"/>
      <c r="BK17" s="190"/>
      <c r="BL17" s="190"/>
      <c r="BM17" s="190"/>
      <c r="BN17" s="190"/>
      <c r="BO17" s="190"/>
      <c r="BP17" s="190"/>
      <c r="BQ17" s="190"/>
      <c r="BR17" s="190"/>
      <c r="BS17" s="190"/>
      <c r="BT17" s="190"/>
      <c r="BU17" s="190"/>
      <c r="BV17" s="190"/>
      <c r="BW17" s="190"/>
      <c r="BX17" s="190"/>
      <c r="BY17" s="190"/>
      <c r="BZ17" s="190"/>
      <c r="CA17" s="190"/>
      <c r="CB17" s="190"/>
      <c r="CC17" s="190"/>
      <c r="CD17" s="190"/>
      <c r="CE17" s="190"/>
      <c r="CF17" s="190"/>
      <c r="CG17" s="190"/>
      <c r="CH17" s="190"/>
      <c r="CI17" s="190"/>
      <c r="CJ17" s="190"/>
      <c r="CK17" s="190"/>
      <c r="CL17" s="190"/>
      <c r="CM17" s="190"/>
      <c r="CN17" s="164"/>
    </row>
    <row r="18" spans="1:92" s="157" customFormat="1" ht="18" customHeight="1" x14ac:dyDescent="0.25">
      <c r="A18" s="158" t="s">
        <v>167</v>
      </c>
      <c r="B18" s="158">
        <v>6</v>
      </c>
      <c r="C18" s="158"/>
      <c r="D18" s="158"/>
      <c r="E18" s="158"/>
      <c r="F18" s="158"/>
      <c r="G18" s="158">
        <v>0</v>
      </c>
      <c r="H18" s="195"/>
      <c r="I18" s="196" t="s">
        <v>169</v>
      </c>
      <c r="J18" s="211" t="s">
        <v>127</v>
      </c>
      <c r="K18" s="197" t="s">
        <v>299</v>
      </c>
      <c r="L18" s="198" t="s">
        <v>168</v>
      </c>
      <c r="M18" s="199" t="s">
        <v>58</v>
      </c>
      <c r="N18" s="173"/>
      <c r="O18" s="200"/>
      <c r="P18" s="201"/>
      <c r="Q18" s="201"/>
      <c r="R18" s="174"/>
      <c r="S18" s="201">
        <v>44678</v>
      </c>
      <c r="T18" s="201">
        <v>44684</v>
      </c>
      <c r="U18" s="202">
        <v>5</v>
      </c>
      <c r="V18" s="173"/>
      <c r="W18" s="172">
        <v>0</v>
      </c>
      <c r="X18" s="175">
        <v>0</v>
      </c>
      <c r="Y18" s="201"/>
      <c r="Z18" s="201"/>
      <c r="AA18" s="174"/>
      <c r="AB18" s="200"/>
      <c r="AC18" s="200"/>
      <c r="AD18" s="200"/>
      <c r="AE18" s="197"/>
      <c r="AF18" s="173"/>
      <c r="AG18" s="173"/>
      <c r="AH18" s="173"/>
      <c r="AI18" s="173"/>
      <c r="AJ18" s="173"/>
      <c r="AK18" s="173"/>
      <c r="AL18" s="173"/>
      <c r="AM18" s="173"/>
      <c r="AN18" s="173"/>
      <c r="AO18" s="173"/>
      <c r="AP18" s="173"/>
      <c r="AQ18" s="173"/>
      <c r="AR18" s="173"/>
      <c r="AS18" s="173"/>
      <c r="AT18" s="173"/>
      <c r="AU18" s="173"/>
      <c r="AV18" s="173"/>
      <c r="AW18" s="173"/>
      <c r="AX18" s="173"/>
      <c r="AY18" s="173"/>
      <c r="AZ18" s="173"/>
      <c r="BA18" s="173"/>
      <c r="BB18" s="173"/>
      <c r="BC18" s="173"/>
      <c r="BD18" s="203"/>
      <c r="BE18" s="204"/>
      <c r="BF18" s="204"/>
      <c r="BG18" s="204"/>
      <c r="BH18" s="204"/>
      <c r="BI18" s="204"/>
      <c r="BJ18" s="204"/>
      <c r="BK18" s="204"/>
      <c r="BL18" s="204"/>
      <c r="BM18" s="204"/>
      <c r="BN18" s="204"/>
      <c r="BO18" s="204"/>
      <c r="BP18" s="204"/>
      <c r="BQ18" s="204"/>
      <c r="BR18" s="204"/>
      <c r="BS18" s="204"/>
      <c r="BT18" s="204"/>
      <c r="BU18" s="204"/>
      <c r="BV18" s="204"/>
      <c r="BW18" s="204"/>
      <c r="BX18" s="204"/>
      <c r="BY18" s="204"/>
      <c r="BZ18" s="204"/>
      <c r="CA18" s="204"/>
      <c r="CB18" s="204"/>
      <c r="CC18" s="204"/>
      <c r="CD18" s="204"/>
      <c r="CE18" s="204"/>
      <c r="CF18" s="204"/>
      <c r="CG18" s="204"/>
      <c r="CH18" s="204"/>
      <c r="CI18" s="204"/>
      <c r="CJ18" s="204"/>
      <c r="CK18" s="204"/>
      <c r="CL18" s="204"/>
      <c r="CM18" s="204"/>
      <c r="CN18" s="164"/>
    </row>
    <row r="19" spans="1:92" s="164" customFormat="1" ht="18" customHeight="1" x14ac:dyDescent="0.25">
      <c r="A19" s="158" t="s">
        <v>167</v>
      </c>
      <c r="B19" s="158">
        <v>7</v>
      </c>
      <c r="C19" s="158"/>
      <c r="D19" s="158"/>
      <c r="E19" s="158"/>
      <c r="F19" s="158"/>
      <c r="G19" s="158">
        <v>0</v>
      </c>
      <c r="H19" s="213"/>
      <c r="I19" s="214" t="s">
        <v>169</v>
      </c>
      <c r="J19" s="215" t="s">
        <v>314</v>
      </c>
      <c r="K19" s="216" t="s">
        <v>308</v>
      </c>
      <c r="L19" s="217" t="s">
        <v>168</v>
      </c>
      <c r="M19" s="218" t="s">
        <v>58</v>
      </c>
      <c r="N19" s="159"/>
      <c r="O19" s="219"/>
      <c r="P19" s="220"/>
      <c r="Q19" s="220"/>
      <c r="R19" s="161"/>
      <c r="S19" s="220">
        <v>44690</v>
      </c>
      <c r="T19" s="220">
        <v>44693</v>
      </c>
      <c r="U19" s="221">
        <v>4</v>
      </c>
      <c r="V19" s="159"/>
      <c r="W19" s="158">
        <v>0</v>
      </c>
      <c r="X19" s="162">
        <v>0</v>
      </c>
      <c r="Y19" s="220"/>
      <c r="Z19" s="220"/>
      <c r="AA19" s="161"/>
      <c r="AB19" s="219"/>
      <c r="AC19" s="219"/>
      <c r="AD19" s="219"/>
      <c r="AE19" s="216"/>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222"/>
      <c r="BE19" s="223"/>
      <c r="BF19" s="223"/>
      <c r="BG19" s="223"/>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row>
    <row r="20" spans="1:92" s="164" customFormat="1" ht="18" customHeight="1" x14ac:dyDescent="0.25">
      <c r="A20" s="158" t="s">
        <v>167</v>
      </c>
      <c r="B20" s="158">
        <v>8</v>
      </c>
      <c r="C20" s="158"/>
      <c r="D20" s="158"/>
      <c r="E20" s="158"/>
      <c r="F20" s="158"/>
      <c r="G20" s="158">
        <v>0</v>
      </c>
      <c r="H20" s="165"/>
      <c r="I20" s="166" t="s">
        <v>169</v>
      </c>
      <c r="J20" s="210" t="s">
        <v>315</v>
      </c>
      <c r="K20" s="170" t="s">
        <v>312</v>
      </c>
      <c r="L20" s="167" t="s">
        <v>168</v>
      </c>
      <c r="M20" s="168" t="s">
        <v>58</v>
      </c>
      <c r="N20" s="153"/>
      <c r="O20" s="169"/>
      <c r="P20" s="156"/>
      <c r="Q20" s="156"/>
      <c r="R20" s="154"/>
      <c r="S20" s="156">
        <v>44690</v>
      </c>
      <c r="T20" s="156">
        <v>44692</v>
      </c>
      <c r="U20" s="189">
        <v>3</v>
      </c>
      <c r="V20" s="153"/>
      <c r="W20" s="152">
        <v>0</v>
      </c>
      <c r="X20" s="155">
        <v>0</v>
      </c>
      <c r="Y20" s="156"/>
      <c r="Z20" s="156"/>
      <c r="AA20" s="154"/>
      <c r="AB20" s="169"/>
      <c r="AC20" s="169"/>
      <c r="AD20" s="169"/>
      <c r="AE20" s="170"/>
      <c r="AF20" s="153"/>
      <c r="AG20" s="153"/>
      <c r="AH20" s="153"/>
      <c r="AI20" s="153"/>
      <c r="AJ20" s="153"/>
      <c r="AK20" s="153"/>
      <c r="AL20" s="153"/>
      <c r="AM20" s="153"/>
      <c r="AN20" s="153"/>
      <c r="AO20" s="153"/>
      <c r="AP20" s="153"/>
      <c r="AQ20" s="153"/>
      <c r="AR20" s="153"/>
      <c r="AS20" s="153"/>
      <c r="AT20" s="153"/>
      <c r="AU20" s="153"/>
      <c r="AV20" s="153"/>
      <c r="AW20" s="153"/>
      <c r="AX20" s="153"/>
      <c r="AY20" s="153"/>
      <c r="AZ20" s="153"/>
      <c r="BA20" s="153"/>
      <c r="BB20" s="153"/>
      <c r="BC20" s="153"/>
      <c r="BD20" s="171"/>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row>
    <row r="21" spans="1:92" s="164" customFormat="1" ht="18" customHeight="1" x14ac:dyDescent="0.25">
      <c r="A21" s="158" t="s">
        <v>282</v>
      </c>
      <c r="B21" s="158">
        <v>13</v>
      </c>
      <c r="C21" s="158"/>
      <c r="D21" s="158"/>
      <c r="E21" s="158"/>
      <c r="F21" s="158"/>
      <c r="G21" s="158">
        <v>0</v>
      </c>
      <c r="H21" s="192"/>
      <c r="I21" s="267" t="s">
        <v>169</v>
      </c>
      <c r="J21" s="237" t="s">
        <v>316</v>
      </c>
      <c r="K21" s="238" t="s">
        <v>320</v>
      </c>
      <c r="L21" s="193" t="s">
        <v>168</v>
      </c>
      <c r="M21" s="240" t="s">
        <v>58</v>
      </c>
      <c r="N21" s="236"/>
      <c r="O21" s="263"/>
      <c r="P21" s="264"/>
      <c r="Q21" s="264"/>
      <c r="R21" s="241"/>
      <c r="S21" s="264">
        <v>44694</v>
      </c>
      <c r="T21" s="264">
        <v>44694</v>
      </c>
      <c r="U21" s="265">
        <v>0</v>
      </c>
      <c r="V21" s="236"/>
      <c r="W21" s="234">
        <v>0</v>
      </c>
      <c r="X21" s="235">
        <v>0</v>
      </c>
      <c r="Y21" s="264"/>
      <c r="Z21" s="264"/>
      <c r="AA21" s="241"/>
      <c r="AB21" s="263"/>
      <c r="AC21" s="263"/>
      <c r="AD21" s="263"/>
      <c r="AE21" s="238"/>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9"/>
      <c r="BE21" s="194"/>
      <c r="BF21" s="194"/>
      <c r="BG21" s="194"/>
      <c r="BH21" s="194"/>
      <c r="BI21" s="194"/>
      <c r="BJ21" s="194"/>
      <c r="BK21" s="194"/>
      <c r="BL21" s="194"/>
      <c r="BM21" s="194"/>
      <c r="BN21" s="194"/>
      <c r="BO21" s="194"/>
      <c r="BP21" s="194"/>
      <c r="BQ21" s="194"/>
      <c r="BR21" s="194"/>
      <c r="BS21" s="194"/>
      <c r="BT21" s="194"/>
      <c r="BU21" s="194"/>
      <c r="BV21" s="194"/>
      <c r="BW21" s="194"/>
      <c r="BX21" s="194"/>
      <c r="BY21" s="194"/>
      <c r="BZ21" s="194"/>
      <c r="CA21" s="194"/>
      <c r="CB21" s="194"/>
      <c r="CC21" s="194"/>
      <c r="CD21" s="194"/>
      <c r="CE21" s="194"/>
      <c r="CF21" s="194"/>
      <c r="CG21" s="194"/>
      <c r="CH21" s="194"/>
      <c r="CI21" s="194"/>
      <c r="CJ21" s="194"/>
      <c r="CK21" s="194"/>
      <c r="CL21" s="194"/>
      <c r="CM21" s="194"/>
    </row>
    <row r="22" spans="1:92" s="164" customFormat="1" ht="18" customHeight="1" x14ac:dyDescent="0.25">
      <c r="A22" s="158" t="s">
        <v>167</v>
      </c>
      <c r="B22" s="158">
        <v>9</v>
      </c>
      <c r="C22" s="158"/>
      <c r="D22" s="158"/>
      <c r="E22" s="158"/>
      <c r="F22" s="158"/>
      <c r="G22" s="158">
        <v>0</v>
      </c>
      <c r="H22" s="195"/>
      <c r="I22" s="196" t="s">
        <v>169</v>
      </c>
      <c r="J22" s="211" t="s">
        <v>319</v>
      </c>
      <c r="K22" s="197" t="s">
        <v>313</v>
      </c>
      <c r="L22" s="198" t="s">
        <v>168</v>
      </c>
      <c r="M22" s="199" t="s">
        <v>58</v>
      </c>
      <c r="N22" s="173"/>
      <c r="O22" s="200"/>
      <c r="P22" s="201"/>
      <c r="Q22" s="201"/>
      <c r="R22" s="174"/>
      <c r="S22" s="201">
        <v>44694</v>
      </c>
      <c r="T22" s="201">
        <v>44697</v>
      </c>
      <c r="U22" s="202">
        <v>2</v>
      </c>
      <c r="V22" s="173"/>
      <c r="W22" s="172">
        <v>0</v>
      </c>
      <c r="X22" s="175">
        <v>0</v>
      </c>
      <c r="Y22" s="201"/>
      <c r="Z22" s="201"/>
      <c r="AA22" s="174"/>
      <c r="AB22" s="200"/>
      <c r="AC22" s="200"/>
      <c r="AD22" s="200"/>
      <c r="AE22" s="197"/>
      <c r="AF22" s="173"/>
      <c r="AG22" s="173"/>
      <c r="AH22" s="173"/>
      <c r="AI22" s="173"/>
      <c r="AJ22" s="173"/>
      <c r="AK22" s="173"/>
      <c r="AL22" s="173"/>
      <c r="AM22" s="173"/>
      <c r="AN22" s="173"/>
      <c r="AO22" s="173"/>
      <c r="AP22" s="173"/>
      <c r="AQ22" s="173"/>
      <c r="AR22" s="173"/>
      <c r="AS22" s="173"/>
      <c r="AT22" s="173"/>
      <c r="AU22" s="173"/>
      <c r="AV22" s="173"/>
      <c r="AW22" s="173"/>
      <c r="AX22" s="173"/>
      <c r="AY22" s="173"/>
      <c r="AZ22" s="173"/>
      <c r="BA22" s="173"/>
      <c r="BB22" s="173"/>
      <c r="BC22" s="173"/>
      <c r="BD22" s="203"/>
      <c r="BE22" s="204"/>
      <c r="BF22" s="204"/>
      <c r="BG22" s="204"/>
      <c r="BH22" s="204"/>
      <c r="BI22" s="204"/>
      <c r="BJ22" s="204"/>
      <c r="BK22" s="204"/>
      <c r="BL22" s="204"/>
      <c r="BM22" s="204"/>
      <c r="BN22" s="204"/>
      <c r="BO22" s="204"/>
      <c r="BP22" s="204"/>
      <c r="BQ22" s="204"/>
      <c r="BR22" s="204"/>
      <c r="BS22" s="204"/>
      <c r="BT22" s="204"/>
      <c r="BU22" s="204"/>
      <c r="BV22" s="204"/>
      <c r="BW22" s="204"/>
      <c r="BX22" s="204"/>
      <c r="BY22" s="204"/>
      <c r="BZ22" s="204"/>
      <c r="CA22" s="204"/>
      <c r="CB22" s="204"/>
      <c r="CC22" s="204"/>
      <c r="CD22" s="204"/>
      <c r="CE22" s="204"/>
      <c r="CF22" s="204"/>
      <c r="CG22" s="204"/>
      <c r="CH22" s="204"/>
      <c r="CI22" s="204"/>
      <c r="CJ22" s="204"/>
      <c r="CK22" s="204"/>
      <c r="CL22" s="204"/>
      <c r="CM22" s="204"/>
    </row>
    <row r="23" spans="1:92" s="76" customFormat="1" x14ac:dyDescent="0.25">
      <c r="A23" s="158"/>
      <c r="B23" s="158"/>
      <c r="C23" s="158"/>
      <c r="D23" s="158"/>
      <c r="E23" s="158"/>
      <c r="F23" s="158"/>
      <c r="G23" s="158"/>
      <c r="H23" s="158"/>
      <c r="I23" s="158"/>
      <c r="J23" s="215"/>
      <c r="K23" s="224" t="s">
        <v>309</v>
      </c>
      <c r="L23" s="160"/>
      <c r="M23" s="158"/>
      <c r="N23" s="159"/>
      <c r="O23" s="161"/>
      <c r="P23" s="220"/>
      <c r="Q23" s="220"/>
      <c r="R23" s="161"/>
      <c r="S23" s="220"/>
      <c r="T23" s="220"/>
      <c r="U23" s="221"/>
      <c r="V23" s="158"/>
      <c r="W23" s="158"/>
      <c r="X23" s="162"/>
      <c r="Y23" s="220"/>
      <c r="Z23" s="220"/>
      <c r="AA23" s="161"/>
      <c r="AB23" s="161"/>
      <c r="AC23" s="161"/>
      <c r="AD23" s="161"/>
      <c r="AE23" s="163"/>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row>
    <row r="24" spans="1:92" s="76" customFormat="1" x14ac:dyDescent="0.25">
      <c r="A24" s="158"/>
      <c r="B24" s="158"/>
      <c r="C24" s="158"/>
      <c r="D24" s="158"/>
      <c r="E24" s="158"/>
      <c r="F24" s="158"/>
      <c r="G24" s="158"/>
      <c r="H24" s="158"/>
      <c r="I24" s="158"/>
      <c r="J24" s="215"/>
      <c r="K24" s="159"/>
      <c r="L24" s="160"/>
      <c r="M24" s="158"/>
      <c r="N24" s="159"/>
      <c r="O24" s="161"/>
      <c r="P24" s="220"/>
      <c r="Q24" s="220"/>
      <c r="R24" s="161"/>
      <c r="S24" s="220"/>
      <c r="T24" s="220"/>
      <c r="U24" s="161"/>
      <c r="V24" s="158"/>
      <c r="W24" s="158"/>
      <c r="X24" s="162"/>
      <c r="Y24" s="220"/>
      <c r="Z24" s="220"/>
      <c r="AA24" s="161"/>
      <c r="AB24" s="161"/>
      <c r="AC24" s="161"/>
      <c r="AD24" s="161"/>
      <c r="AE24" s="163"/>
      <c r="AF24" s="158"/>
      <c r="AG24" s="158"/>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row>
    <row r="25" spans="1:92" s="76" customFormat="1" x14ac:dyDescent="0.25">
      <c r="A25" s="158"/>
      <c r="B25" s="158"/>
      <c r="C25" s="158"/>
      <c r="D25" s="158"/>
      <c r="E25" s="158"/>
      <c r="F25" s="158"/>
      <c r="G25" s="158"/>
      <c r="H25" s="158"/>
      <c r="I25" s="158"/>
      <c r="J25" s="215"/>
      <c r="K25" s="159"/>
      <c r="L25" s="160"/>
      <c r="M25" s="158"/>
      <c r="N25" s="159"/>
      <c r="O25" s="161"/>
      <c r="P25" s="161"/>
      <c r="Q25" s="161"/>
      <c r="R25" s="161"/>
      <c r="S25" s="161"/>
      <c r="T25" s="161"/>
      <c r="U25" s="161"/>
      <c r="V25" s="158"/>
      <c r="W25" s="158"/>
      <c r="X25" s="162"/>
      <c r="Y25" s="161"/>
      <c r="Z25" s="161"/>
      <c r="AA25" s="161"/>
      <c r="AB25" s="161"/>
      <c r="AC25" s="161"/>
      <c r="AD25" s="161"/>
      <c r="AE25" s="163"/>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row>
    <row r="27" spans="1:92" s="76" customFormat="1" x14ac:dyDescent="0.25">
      <c r="A27" s="158"/>
      <c r="B27" s="158"/>
      <c r="C27" s="158"/>
      <c r="D27" s="158"/>
      <c r="E27" s="158"/>
      <c r="F27" s="158"/>
      <c r="G27" s="158"/>
      <c r="H27" s="158"/>
      <c r="I27" s="158"/>
      <c r="J27" s="215"/>
      <c r="K27" s="159"/>
      <c r="L27" s="160"/>
      <c r="M27" s="158"/>
      <c r="N27" s="159"/>
      <c r="O27" s="161"/>
      <c r="P27" s="161"/>
      <c r="Q27" s="161"/>
      <c r="R27" s="161"/>
      <c r="S27" s="161"/>
      <c r="T27" s="161"/>
      <c r="U27" s="161"/>
      <c r="V27" s="158"/>
      <c r="W27" s="158"/>
      <c r="X27" s="162"/>
      <c r="Y27" s="161"/>
      <c r="Z27" s="161"/>
      <c r="AA27" s="161"/>
      <c r="AB27" s="161"/>
      <c r="AC27" s="161"/>
      <c r="AD27" s="161"/>
      <c r="AE27" s="163"/>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row>
  </sheetData>
  <pageMargins left="0.7" right="0.7" top="0.75" bottom="0.75" header="0.3" footer="0.3"/>
  <ignoredErrors>
    <ignoredError sqref="J21:J22 J10:J20" numberStoredAsText="1"/>
  </ignoredErrors>
  <drawing r:id="rId1"/>
  <extLst>
    <ext xmlns:x14="http://schemas.microsoft.com/office/spreadsheetml/2009/9/main" uri="{78C0D931-6437-407d-A8EE-F0AAD7539E65}">
      <x14:conditionalFormattings>
        <x14:conditionalFormatting xmlns:xm="http://schemas.microsoft.com/office/excel/2006/main">
          <x14:cfRule type="iconSet" priority="1" id="{C749CAC1-3165-4B6F-839F-E0705F7BA6F5}">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
  <dimension ref="B2:VGB31"/>
  <sheetViews>
    <sheetView showGridLines="0" showRowColHeaders="0" zoomScaleNormal="100" workbookViewId="0">
      <selection activeCell="F4" sqref="F4"/>
    </sheetView>
  </sheetViews>
  <sheetFormatPr defaultColWidth="9.140625" defaultRowHeight="15" x14ac:dyDescent="0.25"/>
  <cols>
    <col min="1" max="1" width="9.140625" style="76"/>
    <col min="2" max="2" width="1" style="76" customWidth="1"/>
    <col min="3" max="3" width="6.28515625" style="76" customWidth="1"/>
    <col min="4" max="4" width="1.28515625" style="76" customWidth="1"/>
    <col min="5" max="15" width="9.140625" style="76" customWidth="1"/>
    <col min="16" max="16" width="9.28515625" style="76" customWidth="1"/>
    <col min="17" max="18" width="9.140625" style="76" customWidth="1"/>
    <col min="19" max="19" width="8.28515625" style="76" customWidth="1"/>
    <col min="20" max="20" width="9.140625" style="76" customWidth="1"/>
    <col min="21" max="21" width="9.28515625" style="76" customWidth="1"/>
    <col min="22" max="22" width="2" style="76" customWidth="1"/>
    <col min="23" max="23" width="0.85546875" style="76" customWidth="1"/>
    <col min="24" max="16384" width="9.140625" style="76"/>
  </cols>
  <sheetData>
    <row r="2" spans="2:23 15055:15056" ht="5.25" customHeight="1" x14ac:dyDescent="0.25">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25">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25">
      <c r="B4" s="19"/>
      <c r="C4" s="33"/>
      <c r="D4" s="33"/>
      <c r="H4" s="278" t="s">
        <v>157</v>
      </c>
      <c r="I4" s="278"/>
      <c r="J4" s="278"/>
      <c r="K4" s="278"/>
      <c r="L4" s="278"/>
      <c r="M4" s="278"/>
      <c r="N4" s="278"/>
      <c r="O4" s="278"/>
      <c r="P4" s="278"/>
      <c r="Q4" s="278"/>
      <c r="R4" s="278"/>
      <c r="S4" s="278"/>
      <c r="T4" s="33"/>
      <c r="U4" s="33"/>
      <c r="V4" s="33"/>
      <c r="W4" s="19"/>
    </row>
    <row r="5" spans="2:23 15055:15056" ht="15" customHeight="1" x14ac:dyDescent="0.55000000000000004">
      <c r="B5" s="19"/>
      <c r="C5" s="33"/>
      <c r="D5" s="33"/>
      <c r="G5" s="90"/>
      <c r="H5" s="278"/>
      <c r="I5" s="278"/>
      <c r="J5" s="278"/>
      <c r="K5" s="278"/>
      <c r="L5" s="278"/>
      <c r="M5" s="278"/>
      <c r="N5" s="278"/>
      <c r="O5" s="278"/>
      <c r="P5" s="278"/>
      <c r="Q5" s="278"/>
      <c r="R5" s="278"/>
      <c r="S5" s="278"/>
      <c r="W5" s="19"/>
    </row>
    <row r="6" spans="2:23 15055:15056" ht="35.450000000000003" customHeight="1" x14ac:dyDescent="0.25">
      <c r="B6" s="19"/>
      <c r="C6" s="33"/>
      <c r="D6" s="33"/>
      <c r="K6" s="67"/>
      <c r="L6" s="67"/>
      <c r="M6" s="67"/>
      <c r="N6" s="67"/>
      <c r="O6" s="67"/>
      <c r="P6" s="67"/>
      <c r="Q6" s="33"/>
      <c r="R6" s="33"/>
      <c r="S6" s="68"/>
      <c r="T6" s="33"/>
      <c r="U6" s="33"/>
      <c r="V6" s="33"/>
      <c r="W6" s="19"/>
    </row>
    <row r="7" spans="2:23 15055:15056" ht="15" customHeight="1" x14ac:dyDescent="0.25">
      <c r="B7" s="19"/>
      <c r="C7" s="69" t="s">
        <v>156</v>
      </c>
      <c r="D7" s="33"/>
      <c r="K7" s="67"/>
      <c r="L7" s="67"/>
      <c r="M7" s="67"/>
      <c r="N7" s="67"/>
      <c r="O7" s="67"/>
      <c r="P7" s="67"/>
      <c r="Q7" s="33"/>
      <c r="R7" s="33"/>
      <c r="S7" s="68"/>
      <c r="T7" s="33"/>
      <c r="U7" s="33"/>
      <c r="V7" s="33"/>
      <c r="W7" s="19"/>
    </row>
    <row r="8" spans="2:23 15055:15056" ht="3.95" customHeight="1" x14ac:dyDescent="0.25">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25">
      <c r="B9" s="19"/>
      <c r="G9" s="277" t="s">
        <v>1</v>
      </c>
      <c r="H9" s="277"/>
      <c r="I9" s="277"/>
      <c r="J9" s="277"/>
      <c r="K9" s="277"/>
      <c r="L9" s="277"/>
      <c r="M9" s="277"/>
      <c r="N9" s="277"/>
      <c r="O9" s="277"/>
      <c r="P9" s="277"/>
      <c r="Q9" s="277"/>
      <c r="R9" s="277"/>
      <c r="S9" s="277"/>
      <c r="W9" s="19"/>
    </row>
    <row r="10" spans="2:23 15055:15056" ht="15" customHeight="1" x14ac:dyDescent="0.3">
      <c r="B10" s="19"/>
      <c r="C10" s="76">
        <v>1</v>
      </c>
      <c r="D10" s="72">
        <v>1</v>
      </c>
      <c r="E10" s="73" t="s">
        <v>80</v>
      </c>
      <c r="F10" s="33"/>
      <c r="G10" s="277"/>
      <c r="H10" s="277"/>
      <c r="I10" s="277"/>
      <c r="J10" s="277"/>
      <c r="K10" s="277"/>
      <c r="L10" s="277"/>
      <c r="M10" s="277"/>
      <c r="N10" s="277"/>
      <c r="O10" s="277"/>
      <c r="P10" s="277"/>
      <c r="Q10" s="277"/>
      <c r="R10" s="277"/>
      <c r="S10" s="277"/>
      <c r="T10" s="74"/>
      <c r="U10" s="74"/>
      <c r="V10" s="74"/>
      <c r="W10" s="19"/>
    </row>
    <row r="11" spans="2:23 15055:15056" ht="15" customHeight="1" x14ac:dyDescent="0.25">
      <c r="B11" s="19"/>
      <c r="E11" s="275" t="s">
        <v>70</v>
      </c>
      <c r="F11" s="276"/>
      <c r="G11" s="276"/>
      <c r="H11" s="276"/>
      <c r="I11" s="276"/>
      <c r="W11" s="19"/>
    </row>
    <row r="12" spans="2:23 15055:15056" ht="15" customHeight="1" x14ac:dyDescent="0.25">
      <c r="B12" s="19"/>
      <c r="W12" s="19"/>
    </row>
    <row r="13" spans="2:23 15055:15056" ht="15" customHeight="1" x14ac:dyDescent="0.3">
      <c r="B13" s="19"/>
      <c r="C13" s="76">
        <v>2</v>
      </c>
      <c r="E13" s="73" t="s">
        <v>158</v>
      </c>
      <c r="W13" s="19"/>
    </row>
    <row r="14" spans="2:23 15055:15056" ht="15" customHeight="1" x14ac:dyDescent="0.25">
      <c r="B14" s="19"/>
      <c r="W14" s="19"/>
    </row>
    <row r="15" spans="2:23 15055:15056" ht="15" customHeight="1" x14ac:dyDescent="0.25">
      <c r="B15" s="19"/>
      <c r="W15" s="19"/>
    </row>
    <row r="16" spans="2:23 15055:15056" ht="15" customHeight="1" x14ac:dyDescent="0.25">
      <c r="B16" s="19"/>
      <c r="W16" s="19"/>
    </row>
    <row r="17" spans="2:23" ht="15" customHeight="1" x14ac:dyDescent="0.25">
      <c r="B17" s="19"/>
      <c r="W17" s="19"/>
    </row>
    <row r="18" spans="2:23" ht="15" customHeight="1" x14ac:dyDescent="0.25">
      <c r="B18" s="19"/>
      <c r="W18" s="19"/>
    </row>
    <row r="19" spans="2:23" ht="15" customHeight="1" x14ac:dyDescent="0.25">
      <c r="B19" s="19"/>
      <c r="W19" s="19"/>
    </row>
    <row r="20" spans="2:23" ht="15" customHeight="1" x14ac:dyDescent="0.25">
      <c r="B20" s="19"/>
      <c r="W20" s="19"/>
    </row>
    <row r="21" spans="2:23" ht="15" customHeight="1" x14ac:dyDescent="0.25">
      <c r="B21" s="19"/>
      <c r="W21" s="19"/>
    </row>
    <row r="22" spans="2:23" ht="15" customHeight="1" x14ac:dyDescent="0.25">
      <c r="B22" s="19"/>
      <c r="E22" s="275" t="s">
        <v>288</v>
      </c>
      <c r="F22" s="276"/>
      <c r="G22" s="276"/>
      <c r="H22" s="276"/>
      <c r="W22" s="19"/>
    </row>
    <row r="23" spans="2:23" ht="15" customHeight="1" x14ac:dyDescent="0.25">
      <c r="B23" s="19"/>
      <c r="E23" s="275" t="s">
        <v>0</v>
      </c>
      <c r="F23" s="276"/>
      <c r="G23" s="276"/>
      <c r="H23" s="276"/>
      <c r="W23" s="19"/>
    </row>
    <row r="24" spans="2:23" ht="15" customHeight="1" x14ac:dyDescent="0.25">
      <c r="B24" s="19"/>
      <c r="W24" s="19"/>
    </row>
    <row r="25" spans="2:23" ht="3.75" customHeight="1" x14ac:dyDescent="0.25">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25"/>
    <row r="31" spans="2:23" x14ac:dyDescent="0.25">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hyperlink ref="E22" r:id="rId2" tooltip="Quick Start Guide"/>
    <hyperlink ref="E23" r:id="rId3" tooltip="Click Here For Documentation"/>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1"/>
  <dimension ref="A1:LZ7"/>
  <sheetViews>
    <sheetView workbookViewId="0">
      <selection activeCell="G26" sqref="G26"/>
    </sheetView>
  </sheetViews>
  <sheetFormatPr defaultColWidth="9.140625" defaultRowHeight="15" x14ac:dyDescent="0.25"/>
  <cols>
    <col min="1" max="11" width="9.140625" style="131"/>
    <col min="12" max="13" width="14.85546875" style="131" customWidth="1"/>
    <col min="14" max="14" width="12.85546875" style="131" customWidth="1"/>
    <col min="15" max="19" width="9.140625" style="131"/>
    <col min="20" max="20" width="12.7109375" style="131" customWidth="1"/>
    <col min="21" max="27" width="9.140625" style="131"/>
    <col min="28" max="28" width="19.7109375" style="131" customWidth="1"/>
    <col min="29" max="16384" width="9.140625" style="131"/>
  </cols>
  <sheetData>
    <row r="1" spans="1:338" x14ac:dyDescent="0.25">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25">
      <c r="A2" s="76" t="s">
        <v>113</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29</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44676</v>
      </c>
      <c r="CK2" s="15">
        <v>44710</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25">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25">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25">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25">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25">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heetViews>
  <sheetFormatPr defaultRowHeight="15" x14ac:dyDescent="0.25"/>
  <sheetData>
    <row r="1" spans="1:20" x14ac:dyDescent="0.25">
      <c r="A1" t="s">
        <v>225</v>
      </c>
      <c r="B1" t="s">
        <v>248</v>
      </c>
      <c r="C1" t="s">
        <v>249</v>
      </c>
      <c r="D1" t="s">
        <v>250</v>
      </c>
      <c r="K1" t="s">
        <v>251</v>
      </c>
      <c r="L1" t="s">
        <v>252</v>
      </c>
      <c r="M1" t="s">
        <v>253</v>
      </c>
      <c r="N1" t="s">
        <v>254</v>
      </c>
      <c r="O1" t="s">
        <v>255</v>
      </c>
      <c r="P1" t="s">
        <v>256</v>
      </c>
      <c r="Q1" t="s">
        <v>257</v>
      </c>
      <c r="R1" t="s">
        <v>258</v>
      </c>
      <c r="S1" t="s">
        <v>259</v>
      </c>
      <c r="T1" t="s">
        <v>260</v>
      </c>
    </row>
    <row r="2" spans="1:20" x14ac:dyDescent="0.25">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Ndthinhpt98</cp:lastModifiedBy>
  <cp:revision>0</cp:revision>
  <cp:lastPrinted>2021-08-08T06:33:54Z</cp:lastPrinted>
  <dcterms:created xsi:type="dcterms:W3CDTF">2016-09-10T13:03:48Z</dcterms:created>
  <dcterms:modified xsi:type="dcterms:W3CDTF">2022-04-27T05:00:10Z</dcterms:modified>
  <cp:category>Excel Template</cp:category>
  <cp:version>3.0</cp:version>
</cp:coreProperties>
</file>